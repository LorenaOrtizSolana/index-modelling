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\OneDrive\Documentos\"/>
    </mc:Choice>
  </mc:AlternateContent>
  <xr:revisionPtr revIDLastSave="0" documentId="8_{CE72353D-8EEA-4E3D-9653-185224A4A7E0}" xr6:coauthVersionLast="47" xr6:coauthVersionMax="47" xr10:uidLastSave="{00000000-0000-0000-0000-000000000000}"/>
  <bookViews>
    <workbookView xWindow="-120" yWindow="-120" windowWidth="20730" windowHeight="11040" activeTab="1"/>
  </bookViews>
  <sheets>
    <sheet name="All prices" sheetId="1" r:id="rId1"/>
    <sheet name="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3" i="2"/>
  <c r="T2" i="2"/>
  <c r="S4" i="2" a="1"/>
  <c r="S4" i="2" s="1"/>
  <c r="S5" i="2" a="1"/>
  <c r="S5" i="2" s="1"/>
  <c r="S6" i="2" a="1"/>
  <c r="S6" i="2" s="1"/>
  <c r="S7" i="2" a="1"/>
  <c r="S7" i="2"/>
  <c r="S8" i="2" a="1"/>
  <c r="S8" i="2" s="1"/>
  <c r="S9" i="2" a="1"/>
  <c r="S9" i="2" s="1"/>
  <c r="S10" i="2" a="1"/>
  <c r="S10" i="2" s="1"/>
  <c r="S11" i="2" a="1"/>
  <c r="S11" i="2"/>
  <c r="S12" i="2" a="1"/>
  <c r="S12" i="2" s="1"/>
  <c r="S13" i="2" a="1"/>
  <c r="S13" i="2" s="1"/>
  <c r="S14" i="2" a="1"/>
  <c r="S14" i="2" s="1"/>
  <c r="S15" i="2" a="1"/>
  <c r="S15" i="2"/>
  <c r="S16" i="2" a="1"/>
  <c r="S16" i="2" s="1"/>
  <c r="S17" i="2" a="1"/>
  <c r="S17" i="2" s="1"/>
  <c r="S18" i="2" a="1"/>
  <c r="S18" i="2" s="1"/>
  <c r="S19" i="2" a="1"/>
  <c r="S19" i="2"/>
  <c r="S20" i="2" a="1"/>
  <c r="S20" i="2" s="1"/>
  <c r="S21" i="2" a="1"/>
  <c r="S21" i="2" s="1"/>
  <c r="S22" i="2" a="1"/>
  <c r="S22" i="2" s="1"/>
  <c r="S23" i="2" a="1"/>
  <c r="S23" i="2"/>
  <c r="S24" i="2" a="1"/>
  <c r="S24" i="2" s="1"/>
  <c r="S25" i="2" a="1"/>
  <c r="S25" i="2" s="1"/>
  <c r="S26" i="2" a="1"/>
  <c r="S26" i="2" s="1"/>
  <c r="S27" i="2" a="1"/>
  <c r="S27" i="2"/>
  <c r="S28" i="2" a="1"/>
  <c r="S28" i="2" s="1"/>
  <c r="S29" i="2" a="1"/>
  <c r="S29" i="2" s="1"/>
  <c r="S30" i="2" a="1"/>
  <c r="S30" i="2" s="1"/>
  <c r="S31" i="2" a="1"/>
  <c r="S31" i="2"/>
  <c r="S32" i="2" a="1"/>
  <c r="S32" i="2" s="1"/>
  <c r="S33" i="2" a="1"/>
  <c r="S33" i="2" s="1"/>
  <c r="S34" i="2" a="1"/>
  <c r="S34" i="2" s="1"/>
  <c r="S35" i="2" a="1"/>
  <c r="S35" i="2"/>
  <c r="S36" i="2" a="1"/>
  <c r="S36" i="2" s="1"/>
  <c r="S37" i="2" a="1"/>
  <c r="S37" i="2" s="1"/>
  <c r="S38" i="2" a="1"/>
  <c r="S38" i="2" s="1"/>
  <c r="S39" i="2" a="1"/>
  <c r="S39" i="2"/>
  <c r="S40" i="2" a="1"/>
  <c r="S40" i="2" s="1"/>
  <c r="S41" i="2" a="1"/>
  <c r="S41" i="2" s="1"/>
  <c r="S42" i="2" a="1"/>
  <c r="S42" i="2" s="1"/>
  <c r="S43" i="2" a="1"/>
  <c r="S43" i="2"/>
  <c r="S44" i="2" a="1"/>
  <c r="S44" i="2" s="1"/>
  <c r="S45" i="2" a="1"/>
  <c r="S45" i="2" s="1"/>
  <c r="S46" i="2" a="1"/>
  <c r="S46" i="2" s="1"/>
  <c r="S47" i="2" a="1"/>
  <c r="S47" i="2"/>
  <c r="S48" i="2" a="1"/>
  <c r="S48" i="2" s="1"/>
  <c r="S49" i="2" a="1"/>
  <c r="S49" i="2" s="1"/>
  <c r="S50" i="2" a="1"/>
  <c r="S50" i="2" s="1"/>
  <c r="S51" i="2" a="1"/>
  <c r="S51" i="2"/>
  <c r="S52" i="2" a="1"/>
  <c r="S52" i="2" s="1"/>
  <c r="S53" i="2" a="1"/>
  <c r="S53" i="2" s="1"/>
  <c r="S54" i="2" a="1"/>
  <c r="S54" i="2" s="1"/>
  <c r="S55" i="2" a="1"/>
  <c r="S55" i="2"/>
  <c r="S56" i="2" a="1"/>
  <c r="S56" i="2" s="1"/>
  <c r="S57" i="2" a="1"/>
  <c r="S57" i="2" s="1"/>
  <c r="S58" i="2" a="1"/>
  <c r="S58" i="2" s="1"/>
  <c r="S59" i="2" a="1"/>
  <c r="S59" i="2"/>
  <c r="S60" i="2" a="1"/>
  <c r="S60" i="2" s="1"/>
  <c r="S61" i="2" a="1"/>
  <c r="S61" i="2" s="1"/>
  <c r="S62" i="2" a="1"/>
  <c r="S62" i="2" s="1"/>
  <c r="S63" i="2" a="1"/>
  <c r="S63" i="2"/>
  <c r="S64" i="2" a="1"/>
  <c r="S64" i="2" s="1"/>
  <c r="S65" i="2" a="1"/>
  <c r="S65" i="2" s="1"/>
  <c r="S66" i="2" a="1"/>
  <c r="S66" i="2" s="1"/>
  <c r="S67" i="2" a="1"/>
  <c r="S67" i="2"/>
  <c r="S68" i="2" a="1"/>
  <c r="S68" i="2" s="1"/>
  <c r="S69" i="2" a="1"/>
  <c r="S69" i="2" s="1"/>
  <c r="S70" i="2" a="1"/>
  <c r="S70" i="2" s="1"/>
  <c r="S71" i="2" a="1"/>
  <c r="S71" i="2"/>
  <c r="S72" i="2" a="1"/>
  <c r="S72" i="2" s="1"/>
  <c r="S73" i="2" a="1"/>
  <c r="S73" i="2" s="1"/>
  <c r="S74" i="2" a="1"/>
  <c r="S74" i="2" s="1"/>
  <c r="S75" i="2" a="1"/>
  <c r="S75" i="2"/>
  <c r="S76" i="2" a="1"/>
  <c r="S76" i="2" s="1"/>
  <c r="S77" i="2" a="1"/>
  <c r="S77" i="2" s="1"/>
  <c r="S78" i="2" a="1"/>
  <c r="S78" i="2" s="1"/>
  <c r="S79" i="2" a="1"/>
  <c r="S79" i="2"/>
  <c r="S80" i="2" a="1"/>
  <c r="S80" i="2" s="1"/>
  <c r="S81" i="2" a="1"/>
  <c r="S81" i="2" s="1"/>
  <c r="S82" i="2" a="1"/>
  <c r="S82" i="2" s="1"/>
  <c r="S83" i="2" a="1"/>
  <c r="S83" i="2"/>
  <c r="S84" i="2" a="1"/>
  <c r="S84" i="2" s="1"/>
  <c r="S85" i="2" a="1"/>
  <c r="S85" i="2" s="1"/>
  <c r="S86" i="2" a="1"/>
  <c r="S86" i="2" s="1"/>
  <c r="S87" i="2" a="1"/>
  <c r="S87" i="2"/>
  <c r="S88" i="2" a="1"/>
  <c r="S88" i="2" s="1"/>
  <c r="S89" i="2" a="1"/>
  <c r="S89" i="2" s="1"/>
  <c r="S90" i="2" a="1"/>
  <c r="S90" i="2" s="1"/>
  <c r="S91" i="2" a="1"/>
  <c r="S91" i="2"/>
  <c r="S92" i="2" a="1"/>
  <c r="S92" i="2" s="1"/>
  <c r="S93" i="2" a="1"/>
  <c r="S93" i="2" s="1"/>
  <c r="S94" i="2" a="1"/>
  <c r="S94" i="2" s="1"/>
  <c r="S95" i="2" a="1"/>
  <c r="S95" i="2"/>
  <c r="S96" i="2" a="1"/>
  <c r="S96" i="2" s="1"/>
  <c r="S97" i="2" a="1"/>
  <c r="S97" i="2" s="1"/>
  <c r="S98" i="2" a="1"/>
  <c r="S98" i="2" s="1"/>
  <c r="S99" i="2" a="1"/>
  <c r="S99" i="2"/>
  <c r="S100" i="2" a="1"/>
  <c r="S100" i="2" s="1"/>
  <c r="S101" i="2" a="1"/>
  <c r="S101" i="2" s="1"/>
  <c r="S102" i="2" a="1"/>
  <c r="S102" i="2" s="1"/>
  <c r="S103" i="2" a="1"/>
  <c r="S103" i="2"/>
  <c r="S104" i="2" a="1"/>
  <c r="S104" i="2" s="1"/>
  <c r="S105" i="2" a="1"/>
  <c r="S105" i="2" s="1"/>
  <c r="S106" i="2" a="1"/>
  <c r="S106" i="2" s="1"/>
  <c r="S107" i="2" a="1"/>
  <c r="S107" i="2"/>
  <c r="S108" i="2" a="1"/>
  <c r="S108" i="2" s="1"/>
  <c r="S109" i="2" a="1"/>
  <c r="S109" i="2" s="1"/>
  <c r="S110" i="2" a="1"/>
  <c r="S110" i="2" s="1"/>
  <c r="S111" i="2" a="1"/>
  <c r="S111" i="2"/>
  <c r="S112" i="2" a="1"/>
  <c r="S112" i="2" s="1"/>
  <c r="S113" i="2" a="1"/>
  <c r="S113" i="2" s="1"/>
  <c r="S114" i="2" a="1"/>
  <c r="S114" i="2" s="1"/>
  <c r="S115" i="2" a="1"/>
  <c r="S115" i="2"/>
  <c r="S116" i="2" a="1"/>
  <c r="S116" i="2" s="1"/>
  <c r="S117" i="2" a="1"/>
  <c r="S117" i="2" s="1"/>
  <c r="S118" i="2" a="1"/>
  <c r="S118" i="2" s="1"/>
  <c r="S119" i="2" a="1"/>
  <c r="S119" i="2"/>
  <c r="S120" i="2" a="1"/>
  <c r="S120" i="2" s="1"/>
  <c r="S121" i="2" a="1"/>
  <c r="S121" i="2" s="1"/>
  <c r="S122" i="2" a="1"/>
  <c r="S122" i="2" s="1"/>
  <c r="S123" i="2" a="1"/>
  <c r="S123" i="2"/>
  <c r="S124" i="2" a="1"/>
  <c r="S124" i="2" s="1"/>
  <c r="S125" i="2" a="1"/>
  <c r="S125" i="2" s="1"/>
  <c r="S126" i="2" a="1"/>
  <c r="S126" i="2" s="1"/>
  <c r="S127" i="2" a="1"/>
  <c r="S127" i="2"/>
  <c r="S128" i="2" a="1"/>
  <c r="S128" i="2" s="1"/>
  <c r="S129" i="2" a="1"/>
  <c r="S129" i="2" s="1"/>
  <c r="S130" i="2" a="1"/>
  <c r="S130" i="2" s="1"/>
  <c r="S131" i="2" a="1"/>
  <c r="S131" i="2"/>
  <c r="S132" i="2" a="1"/>
  <c r="S132" i="2" s="1"/>
  <c r="S133" i="2" a="1"/>
  <c r="S133" i="2" s="1"/>
  <c r="S134" i="2" a="1"/>
  <c r="S134" i="2" s="1"/>
  <c r="S135" i="2" a="1"/>
  <c r="S135" i="2"/>
  <c r="S136" i="2" a="1"/>
  <c r="S136" i="2" s="1"/>
  <c r="S137" i="2" a="1"/>
  <c r="S137" i="2" s="1"/>
  <c r="S138" i="2" a="1"/>
  <c r="S138" i="2" s="1"/>
  <c r="S139" i="2" a="1"/>
  <c r="S139" i="2"/>
  <c r="S140" i="2" a="1"/>
  <c r="S140" i="2" s="1"/>
  <c r="S141" i="2" a="1"/>
  <c r="S141" i="2" s="1"/>
  <c r="S142" i="2" a="1"/>
  <c r="S142" i="2" s="1"/>
  <c r="S143" i="2" a="1"/>
  <c r="S143" i="2"/>
  <c r="S144" i="2" a="1"/>
  <c r="S144" i="2" s="1"/>
  <c r="S145" i="2" a="1"/>
  <c r="S145" i="2" s="1"/>
  <c r="S146" i="2" a="1"/>
  <c r="S146" i="2" s="1"/>
  <c r="S147" i="2" a="1"/>
  <c r="S147" i="2"/>
  <c r="S148" i="2" a="1"/>
  <c r="S148" i="2" s="1"/>
  <c r="S149" i="2" a="1"/>
  <c r="S149" i="2" s="1"/>
  <c r="S150" i="2" a="1"/>
  <c r="S150" i="2" s="1"/>
  <c r="S151" i="2" a="1"/>
  <c r="S151" i="2"/>
  <c r="S152" i="2" a="1"/>
  <c r="S152" i="2" s="1"/>
  <c r="S153" i="2" a="1"/>
  <c r="S153" i="2" s="1"/>
  <c r="S154" i="2" a="1"/>
  <c r="S154" i="2" s="1"/>
  <c r="S155" i="2" a="1"/>
  <c r="S155" i="2"/>
  <c r="S156" i="2" a="1"/>
  <c r="S156" i="2" s="1"/>
  <c r="S157" i="2" a="1"/>
  <c r="S157" i="2" s="1"/>
  <c r="S158" i="2" a="1"/>
  <c r="S158" i="2" s="1"/>
  <c r="S159" i="2" a="1"/>
  <c r="S159" i="2"/>
  <c r="S160" i="2" a="1"/>
  <c r="S160" i="2" s="1"/>
  <c r="S161" i="2" a="1"/>
  <c r="S161" i="2" s="1"/>
  <c r="S162" i="2" a="1"/>
  <c r="S162" i="2" s="1"/>
  <c r="S163" i="2" a="1"/>
  <c r="S163" i="2"/>
  <c r="S164" i="2" a="1"/>
  <c r="S164" i="2" s="1"/>
  <c r="S165" i="2" a="1"/>
  <c r="S165" i="2" s="1"/>
  <c r="S166" i="2" a="1"/>
  <c r="S166" i="2" s="1"/>
  <c r="S167" i="2" a="1"/>
  <c r="S167" i="2"/>
  <c r="S168" i="2" a="1"/>
  <c r="S168" i="2" s="1"/>
  <c r="S169" i="2" a="1"/>
  <c r="S169" i="2" s="1"/>
  <c r="S170" i="2" a="1"/>
  <c r="S170" i="2" s="1"/>
  <c r="S171" i="2" a="1"/>
  <c r="S171" i="2"/>
  <c r="S172" i="2" a="1"/>
  <c r="S172" i="2" s="1"/>
  <c r="S173" i="2" a="1"/>
  <c r="S173" i="2" s="1"/>
  <c r="S174" i="2" a="1"/>
  <c r="S174" i="2" s="1"/>
  <c r="S175" i="2" a="1"/>
  <c r="S175" i="2"/>
  <c r="S176" i="2" a="1"/>
  <c r="S176" i="2" s="1"/>
  <c r="S177" i="2" a="1"/>
  <c r="S177" i="2" s="1"/>
  <c r="S178" i="2" a="1"/>
  <c r="S178" i="2" s="1"/>
  <c r="S179" i="2" a="1"/>
  <c r="S179" i="2"/>
  <c r="S180" i="2" a="1"/>
  <c r="S180" i="2" s="1"/>
  <c r="S181" i="2" a="1"/>
  <c r="S181" i="2" s="1"/>
  <c r="S182" i="2" a="1"/>
  <c r="S182" i="2" s="1"/>
  <c r="S183" i="2" a="1"/>
  <c r="S183" i="2"/>
  <c r="S184" i="2" a="1"/>
  <c r="S184" i="2" s="1"/>
  <c r="S185" i="2" a="1"/>
  <c r="S185" i="2" s="1"/>
  <c r="S186" i="2" a="1"/>
  <c r="S186" i="2" s="1"/>
  <c r="S187" i="2" a="1"/>
  <c r="S187" i="2"/>
  <c r="S188" i="2" a="1"/>
  <c r="S188" i="2" s="1"/>
  <c r="S189" i="2" a="1"/>
  <c r="S189" i="2" s="1"/>
  <c r="S190" i="2" a="1"/>
  <c r="S190" i="2" s="1"/>
  <c r="S191" i="2" a="1"/>
  <c r="S191" i="2"/>
  <c r="S192" i="2" a="1"/>
  <c r="S192" i="2" s="1"/>
  <c r="S193" i="2" a="1"/>
  <c r="S193" i="2" s="1"/>
  <c r="S194" i="2" a="1"/>
  <c r="S194" i="2" s="1"/>
  <c r="S195" i="2" a="1"/>
  <c r="S195" i="2"/>
  <c r="S196" i="2" a="1"/>
  <c r="S196" i="2" s="1"/>
  <c r="S197" i="2" a="1"/>
  <c r="S197" i="2" s="1"/>
  <c r="S198" i="2" a="1"/>
  <c r="S198" i="2" s="1"/>
  <c r="S199" i="2" a="1"/>
  <c r="S199" i="2"/>
  <c r="S200" i="2" a="1"/>
  <c r="S200" i="2" s="1"/>
  <c r="S201" i="2" a="1"/>
  <c r="S201" i="2" s="1"/>
  <c r="S202" i="2" a="1"/>
  <c r="S202" i="2" s="1"/>
  <c r="S203" i="2" a="1"/>
  <c r="S203" i="2"/>
  <c r="S204" i="2" a="1"/>
  <c r="S204" i="2" s="1"/>
  <c r="S205" i="2" a="1"/>
  <c r="S205" i="2" s="1"/>
  <c r="S206" i="2" a="1"/>
  <c r="S206" i="2" s="1"/>
  <c r="S207" i="2" a="1"/>
  <c r="S207" i="2"/>
  <c r="S208" i="2" a="1"/>
  <c r="S208" i="2" s="1"/>
  <c r="S209" i="2" a="1"/>
  <c r="S209" i="2" s="1"/>
  <c r="S210" i="2" a="1"/>
  <c r="S210" i="2" s="1"/>
  <c r="S211" i="2" a="1"/>
  <c r="S211" i="2"/>
  <c r="S212" i="2" a="1"/>
  <c r="S212" i="2" s="1"/>
  <c r="S213" i="2" a="1"/>
  <c r="S213" i="2" s="1"/>
  <c r="S214" i="2" a="1"/>
  <c r="S214" i="2" s="1"/>
  <c r="S215" i="2" a="1"/>
  <c r="S215" i="2"/>
  <c r="S216" i="2" a="1"/>
  <c r="S216" i="2" s="1"/>
  <c r="S217" i="2" a="1"/>
  <c r="S217" i="2" s="1"/>
  <c r="S218" i="2" a="1"/>
  <c r="S218" i="2" s="1"/>
  <c r="S219" i="2" a="1"/>
  <c r="S219" i="2"/>
  <c r="S220" i="2" a="1"/>
  <c r="S220" i="2" s="1"/>
  <c r="S221" i="2" a="1"/>
  <c r="S221" i="2" s="1"/>
  <c r="S222" i="2" a="1"/>
  <c r="S222" i="2" s="1"/>
  <c r="S223" i="2" a="1"/>
  <c r="S223" i="2"/>
  <c r="S224" i="2" a="1"/>
  <c r="S224" i="2" s="1"/>
  <c r="S225" i="2" a="1"/>
  <c r="S225" i="2" s="1"/>
  <c r="S226" i="2" a="1"/>
  <c r="S226" i="2" s="1"/>
  <c r="S227" i="2" a="1"/>
  <c r="S227" i="2"/>
  <c r="S228" i="2" a="1"/>
  <c r="S228" i="2" s="1"/>
  <c r="S229" i="2" a="1"/>
  <c r="S229" i="2" s="1"/>
  <c r="S230" i="2" a="1"/>
  <c r="S230" i="2" s="1"/>
  <c r="S231" i="2" a="1"/>
  <c r="S231" i="2"/>
  <c r="S232" i="2" a="1"/>
  <c r="S232" i="2" s="1"/>
  <c r="S233" i="2" a="1"/>
  <c r="S233" i="2" s="1"/>
  <c r="S234" i="2" a="1"/>
  <c r="S234" i="2" s="1"/>
  <c r="S235" i="2" a="1"/>
  <c r="S235" i="2"/>
  <c r="S236" i="2" a="1"/>
  <c r="S236" i="2" s="1"/>
  <c r="S237" i="2" a="1"/>
  <c r="S237" i="2" s="1"/>
  <c r="S238" i="2" a="1"/>
  <c r="S238" i="2" s="1"/>
  <c r="S239" i="2" a="1"/>
  <c r="S239" i="2"/>
  <c r="S240" i="2" a="1"/>
  <c r="S240" i="2" s="1"/>
  <c r="S241" i="2" a="1"/>
  <c r="S241" i="2" s="1"/>
  <c r="S242" i="2" a="1"/>
  <c r="S242" i="2" s="1"/>
  <c r="S243" i="2" a="1"/>
  <c r="S243" i="2"/>
  <c r="S244" i="2" a="1"/>
  <c r="S244" i="2" s="1"/>
  <c r="S3" i="2" a="1"/>
  <c r="S3" i="2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R2" i="2"/>
  <c r="Q2" i="2"/>
  <c r="P2" i="2"/>
  <c r="A2" i="2" a="1"/>
  <c r="J3" i="2" l="1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4" i="2"/>
  <c r="J12" i="2"/>
  <c r="J20" i="2"/>
  <c r="J28" i="2"/>
  <c r="J36" i="2"/>
  <c r="J44" i="2"/>
  <c r="J52" i="2"/>
  <c r="J60" i="2"/>
  <c r="J68" i="2"/>
  <c r="J76" i="2"/>
  <c r="J84" i="2"/>
  <c r="J92" i="2"/>
  <c r="J100" i="2"/>
  <c r="J108" i="2"/>
  <c r="J116" i="2"/>
  <c r="J5" i="2"/>
  <c r="J13" i="2"/>
  <c r="J21" i="2"/>
  <c r="J29" i="2"/>
  <c r="J37" i="2"/>
  <c r="J45" i="2"/>
  <c r="J53" i="2"/>
  <c r="J61" i="2"/>
  <c r="J69" i="2"/>
  <c r="J77" i="2"/>
  <c r="J85" i="2"/>
  <c r="J93" i="2"/>
  <c r="J101" i="2"/>
  <c r="J109" i="2"/>
  <c r="J117" i="2"/>
  <c r="J125" i="2"/>
  <c r="J133" i="2"/>
  <c r="J141" i="2"/>
  <c r="J149" i="2"/>
  <c r="J157" i="2"/>
  <c r="J165" i="2"/>
  <c r="J173" i="2"/>
  <c r="J181" i="2"/>
  <c r="J189" i="2"/>
  <c r="J6" i="2"/>
  <c r="J14" i="2"/>
  <c r="J22" i="2"/>
  <c r="J30" i="2"/>
  <c r="J38" i="2"/>
  <c r="J46" i="2"/>
  <c r="J54" i="2"/>
  <c r="J62" i="2"/>
  <c r="J70" i="2"/>
  <c r="J78" i="2"/>
  <c r="J86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3" i="2"/>
  <c r="J42" i="2"/>
  <c r="J64" i="2"/>
  <c r="J87" i="2"/>
  <c r="J103" i="2"/>
  <c r="J119" i="2"/>
  <c r="J130" i="2"/>
  <c r="J140" i="2"/>
  <c r="J151" i="2"/>
  <c r="J162" i="2"/>
  <c r="J172" i="2"/>
  <c r="J183" i="2"/>
  <c r="J194" i="2"/>
  <c r="J202" i="2"/>
  <c r="J210" i="2"/>
  <c r="J218" i="2"/>
  <c r="J226" i="2"/>
  <c r="J234" i="2"/>
  <c r="J242" i="2"/>
  <c r="J2" i="2"/>
  <c r="J24" i="2"/>
  <c r="J47" i="2"/>
  <c r="J66" i="2"/>
  <c r="J88" i="2"/>
  <c r="J104" i="2"/>
  <c r="J120" i="2"/>
  <c r="J131" i="2"/>
  <c r="J142" i="2"/>
  <c r="J152" i="2"/>
  <c r="J163" i="2"/>
  <c r="J174" i="2"/>
  <c r="J184" i="2"/>
  <c r="J195" i="2"/>
  <c r="J203" i="2"/>
  <c r="J211" i="2"/>
  <c r="J219" i="2"/>
  <c r="J227" i="2"/>
  <c r="J235" i="2"/>
  <c r="J243" i="2"/>
  <c r="J7" i="2"/>
  <c r="J26" i="2"/>
  <c r="J48" i="2"/>
  <c r="J71" i="2"/>
  <c r="J90" i="2"/>
  <c r="J106" i="2"/>
  <c r="J122" i="2"/>
  <c r="J132" i="2"/>
  <c r="J143" i="2"/>
  <c r="J154" i="2"/>
  <c r="J164" i="2"/>
  <c r="J175" i="2"/>
  <c r="J186" i="2"/>
  <c r="J196" i="2"/>
  <c r="J204" i="2"/>
  <c r="J212" i="2"/>
  <c r="J220" i="2"/>
  <c r="J228" i="2"/>
  <c r="J236" i="2"/>
  <c r="J244" i="2"/>
  <c r="J8" i="2"/>
  <c r="J31" i="2"/>
  <c r="J50" i="2"/>
  <c r="J72" i="2"/>
  <c r="J94" i="2"/>
  <c r="J110" i="2"/>
  <c r="J123" i="2"/>
  <c r="J134" i="2"/>
  <c r="J144" i="2"/>
  <c r="J155" i="2"/>
  <c r="J166" i="2"/>
  <c r="J176" i="2"/>
  <c r="J187" i="2"/>
  <c r="J197" i="2"/>
  <c r="J205" i="2"/>
  <c r="J213" i="2"/>
  <c r="J221" i="2"/>
  <c r="J229" i="2"/>
  <c r="J237" i="2"/>
  <c r="J10" i="2"/>
  <c r="J32" i="2"/>
  <c r="J55" i="2"/>
  <c r="J74" i="2"/>
  <c r="J95" i="2"/>
  <c r="J111" i="2"/>
  <c r="J124" i="2"/>
  <c r="J135" i="2"/>
  <c r="J146" i="2"/>
  <c r="J156" i="2"/>
  <c r="J167" i="2"/>
  <c r="J178" i="2"/>
  <c r="J188" i="2"/>
  <c r="J16" i="2"/>
  <c r="J39" i="2"/>
  <c r="J58" i="2"/>
  <c r="J80" i="2"/>
  <c r="J98" i="2"/>
  <c r="J114" i="2"/>
  <c r="J127" i="2"/>
  <c r="J138" i="2"/>
  <c r="J148" i="2"/>
  <c r="J159" i="2"/>
  <c r="J170" i="2"/>
  <c r="J180" i="2"/>
  <c r="J191" i="2"/>
  <c r="J200" i="2"/>
  <c r="J208" i="2"/>
  <c r="J216" i="2"/>
  <c r="J224" i="2"/>
  <c r="J232" i="2"/>
  <c r="J240" i="2"/>
  <c r="J18" i="2"/>
  <c r="J40" i="2"/>
  <c r="J63" i="2"/>
  <c r="J82" i="2"/>
  <c r="J102" i="2"/>
  <c r="J118" i="2"/>
  <c r="J128" i="2"/>
  <c r="J139" i="2"/>
  <c r="J150" i="2"/>
  <c r="J160" i="2"/>
  <c r="J171" i="2"/>
  <c r="J182" i="2"/>
  <c r="J192" i="2"/>
  <c r="J201" i="2"/>
  <c r="J209" i="2"/>
  <c r="J217" i="2"/>
  <c r="J225" i="2"/>
  <c r="J233" i="2"/>
  <c r="J241" i="2"/>
  <c r="J15" i="2"/>
  <c r="J147" i="2"/>
  <c r="J207" i="2"/>
  <c r="J239" i="2"/>
  <c r="J214" i="2"/>
  <c r="J56" i="2"/>
  <c r="J168" i="2"/>
  <c r="J79" i="2"/>
  <c r="J190" i="2"/>
  <c r="J230" i="2"/>
  <c r="J126" i="2"/>
  <c r="J206" i="2"/>
  <c r="J34" i="2"/>
  <c r="J158" i="2"/>
  <c r="J222" i="2"/>
  <c r="J223" i="2"/>
  <c r="J198" i="2"/>
  <c r="J231" i="2"/>
  <c r="J136" i="2"/>
  <c r="J215" i="2"/>
  <c r="J179" i="2"/>
  <c r="J96" i="2"/>
  <c r="J112" i="2"/>
  <c r="J199" i="2"/>
  <c r="J238" i="2"/>
  <c r="A2" i="2"/>
  <c r="E2" i="2" a="1"/>
  <c r="M8" i="2" l="1"/>
  <c r="M16" i="2"/>
  <c r="M24" i="2"/>
  <c r="M32" i="2"/>
  <c r="M40" i="2"/>
  <c r="M48" i="2"/>
  <c r="M56" i="2"/>
  <c r="M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4" i="2"/>
  <c r="M162" i="2"/>
  <c r="M170" i="2"/>
  <c r="M178" i="2"/>
  <c r="M186" i="2"/>
  <c r="M194" i="2"/>
  <c r="M202" i="2"/>
  <c r="M210" i="2"/>
  <c r="M218" i="2"/>
  <c r="M226" i="2"/>
  <c r="M234" i="2"/>
  <c r="M242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47" i="2"/>
  <c r="M155" i="2"/>
  <c r="M163" i="2"/>
  <c r="M171" i="2"/>
  <c r="M179" i="2"/>
  <c r="M187" i="2"/>
  <c r="M195" i="2"/>
  <c r="M203" i="2"/>
  <c r="M211" i="2"/>
  <c r="M219" i="2"/>
  <c r="M227" i="2"/>
  <c r="M235" i="2"/>
  <c r="M243" i="2"/>
  <c r="M4" i="2"/>
  <c r="M12" i="2"/>
  <c r="M20" i="2"/>
  <c r="M28" i="2"/>
  <c r="M36" i="2"/>
  <c r="M44" i="2"/>
  <c r="M52" i="2"/>
  <c r="M60" i="2"/>
  <c r="M68" i="2"/>
  <c r="M76" i="2"/>
  <c r="M84" i="2"/>
  <c r="M92" i="2"/>
  <c r="M100" i="2"/>
  <c r="M108" i="2"/>
  <c r="M116" i="2"/>
  <c r="M124" i="2"/>
  <c r="M132" i="2"/>
  <c r="M140" i="2"/>
  <c r="M148" i="2"/>
  <c r="M156" i="2"/>
  <c r="M164" i="2"/>
  <c r="M172" i="2"/>
  <c r="M180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14" i="2"/>
  <c r="M222" i="2"/>
  <c r="M230" i="2"/>
  <c r="M238" i="2"/>
  <c r="M21" i="2"/>
  <c r="M53" i="2"/>
  <c r="M77" i="2"/>
  <c r="M96" i="2"/>
  <c r="M119" i="2"/>
  <c r="M141" i="2"/>
  <c r="M160" i="2"/>
  <c r="M183" i="2"/>
  <c r="M199" i="2"/>
  <c r="M215" i="2"/>
  <c r="M231" i="2"/>
  <c r="M23" i="2"/>
  <c r="M55" i="2"/>
  <c r="M79" i="2"/>
  <c r="M101" i="2"/>
  <c r="M120" i="2"/>
  <c r="M143" i="2"/>
  <c r="M165" i="2"/>
  <c r="M184" i="2"/>
  <c r="M200" i="2"/>
  <c r="M216" i="2"/>
  <c r="M232" i="2"/>
  <c r="M29" i="2"/>
  <c r="M61" i="2"/>
  <c r="M80" i="2"/>
  <c r="M103" i="2"/>
  <c r="M125" i="2"/>
  <c r="M144" i="2"/>
  <c r="M167" i="2"/>
  <c r="M188" i="2"/>
  <c r="M204" i="2"/>
  <c r="M220" i="2"/>
  <c r="M236" i="2"/>
  <c r="M31" i="2"/>
  <c r="M63" i="2"/>
  <c r="M85" i="2"/>
  <c r="M104" i="2"/>
  <c r="M127" i="2"/>
  <c r="M149" i="2"/>
  <c r="M168" i="2"/>
  <c r="M189" i="2"/>
  <c r="M205" i="2"/>
  <c r="M221" i="2"/>
  <c r="M237" i="2"/>
  <c r="M13" i="2"/>
  <c r="M45" i="2"/>
  <c r="M71" i="2"/>
  <c r="M93" i="2"/>
  <c r="M112" i="2"/>
  <c r="M135" i="2"/>
  <c r="M157" i="2"/>
  <c r="M176" i="2"/>
  <c r="M196" i="2"/>
  <c r="M212" i="2"/>
  <c r="M228" i="2"/>
  <c r="M244" i="2"/>
  <c r="M37" i="2"/>
  <c r="M95" i="2"/>
  <c r="M152" i="2"/>
  <c r="M207" i="2"/>
  <c r="M39" i="2"/>
  <c r="M109" i="2"/>
  <c r="M159" i="2"/>
  <c r="M208" i="2"/>
  <c r="M47" i="2"/>
  <c r="M111" i="2"/>
  <c r="M173" i="2"/>
  <c r="M213" i="2"/>
  <c r="M64" i="2"/>
  <c r="M117" i="2"/>
  <c r="M175" i="2"/>
  <c r="M223" i="2"/>
  <c r="M69" i="2"/>
  <c r="M128" i="2"/>
  <c r="M181" i="2"/>
  <c r="M224" i="2"/>
  <c r="M7" i="2"/>
  <c r="M87" i="2"/>
  <c r="M136" i="2"/>
  <c r="M192" i="2"/>
  <c r="M239" i="2"/>
  <c r="M15" i="2"/>
  <c r="M88" i="2"/>
  <c r="M151" i="2"/>
  <c r="M197" i="2"/>
  <c r="M240" i="2"/>
  <c r="M5" i="2"/>
  <c r="M191" i="2"/>
  <c r="M229" i="2"/>
  <c r="M72" i="2"/>
  <c r="M133" i="2"/>
  <c r="E2" i="2"/>
  <c r="M2" i="2" s="1"/>
  <c r="D2" i="2" a="1"/>
  <c r="C2" i="2" a="1"/>
  <c r="A2" i="1" a="1"/>
  <c r="K2" i="1" a="1"/>
  <c r="J2" i="1" a="1"/>
  <c r="I2" i="1" a="1"/>
  <c r="H2" i="1" a="1"/>
  <c r="G2" i="1" a="1"/>
  <c r="F2" i="1" a="1"/>
  <c r="E2" i="1" a="1"/>
  <c r="D2" i="1" a="1"/>
  <c r="C2" i="1" a="1"/>
  <c r="K7" i="2" l="1"/>
  <c r="K15" i="2"/>
  <c r="K23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8" i="2"/>
  <c r="N8" i="2" s="1"/>
  <c r="K16" i="2"/>
  <c r="K24" i="2"/>
  <c r="K32" i="2"/>
  <c r="K40" i="2"/>
  <c r="K48" i="2"/>
  <c r="K56" i="2"/>
  <c r="K64" i="2"/>
  <c r="K72" i="2"/>
  <c r="N72" i="2" s="1"/>
  <c r="K80" i="2"/>
  <c r="K88" i="2"/>
  <c r="K96" i="2"/>
  <c r="K104" i="2"/>
  <c r="K112" i="2"/>
  <c r="K120" i="2"/>
  <c r="K128" i="2"/>
  <c r="K136" i="2"/>
  <c r="N136" i="2" s="1"/>
  <c r="K144" i="2"/>
  <c r="K152" i="2"/>
  <c r="K160" i="2"/>
  <c r="K168" i="2"/>
  <c r="K176" i="2"/>
  <c r="K184" i="2"/>
  <c r="K192" i="2"/>
  <c r="K200" i="2"/>
  <c r="N200" i="2" s="1"/>
  <c r="K208" i="2"/>
  <c r="K216" i="2"/>
  <c r="K224" i="2"/>
  <c r="K232" i="2"/>
  <c r="K240" i="2"/>
  <c r="K9" i="2"/>
  <c r="K17" i="2"/>
  <c r="K25" i="2"/>
  <c r="N25" i="2" s="1"/>
  <c r="K33" i="2"/>
  <c r="K41" i="2"/>
  <c r="K49" i="2"/>
  <c r="K57" i="2"/>
  <c r="K65" i="2"/>
  <c r="K73" i="2"/>
  <c r="K81" i="2"/>
  <c r="N81" i="2" s="1"/>
  <c r="K89" i="2"/>
  <c r="N89" i="2" s="1"/>
  <c r="K97" i="2"/>
  <c r="K105" i="2"/>
  <c r="K113" i="2"/>
  <c r="K121" i="2"/>
  <c r="K129" i="2"/>
  <c r="K137" i="2"/>
  <c r="K145" i="2"/>
  <c r="N145" i="2" s="1"/>
  <c r="K153" i="2"/>
  <c r="K161" i="2"/>
  <c r="K169" i="2"/>
  <c r="K177" i="2"/>
  <c r="K185" i="2"/>
  <c r="K193" i="2"/>
  <c r="K201" i="2"/>
  <c r="K209" i="2"/>
  <c r="K217" i="2"/>
  <c r="N217" i="2" s="1"/>
  <c r="K225" i="2"/>
  <c r="K233" i="2"/>
  <c r="K241" i="2"/>
  <c r="K10" i="2"/>
  <c r="K18" i="2"/>
  <c r="K26" i="2"/>
  <c r="K34" i="2"/>
  <c r="K42" i="2"/>
  <c r="N42" i="2" s="1"/>
  <c r="K50" i="2"/>
  <c r="K58" i="2"/>
  <c r="K66" i="2"/>
  <c r="K74" i="2"/>
  <c r="K82" i="2"/>
  <c r="K90" i="2"/>
  <c r="K98" i="2"/>
  <c r="N98" i="2" s="1"/>
  <c r="K106" i="2"/>
  <c r="N106" i="2" s="1"/>
  <c r="K114" i="2"/>
  <c r="K122" i="2"/>
  <c r="K130" i="2"/>
  <c r="K138" i="2"/>
  <c r="K146" i="2"/>
  <c r="K154" i="2"/>
  <c r="K162" i="2"/>
  <c r="N162" i="2" s="1"/>
  <c r="K170" i="2"/>
  <c r="N170" i="2" s="1"/>
  <c r="K178" i="2"/>
  <c r="K186" i="2"/>
  <c r="K194" i="2"/>
  <c r="K202" i="2"/>
  <c r="K210" i="2"/>
  <c r="K218" i="2"/>
  <c r="K226" i="2"/>
  <c r="N226" i="2" s="1"/>
  <c r="K234" i="2"/>
  <c r="N234" i="2" s="1"/>
  <c r="K242" i="2"/>
  <c r="K5" i="2"/>
  <c r="K13" i="2"/>
  <c r="K21" i="2"/>
  <c r="K29" i="2"/>
  <c r="K37" i="2"/>
  <c r="K45" i="2"/>
  <c r="N45" i="2" s="1"/>
  <c r="K53" i="2"/>
  <c r="N53" i="2" s="1"/>
  <c r="K61" i="2"/>
  <c r="K69" i="2"/>
  <c r="K77" i="2"/>
  <c r="K85" i="2"/>
  <c r="K93" i="2"/>
  <c r="K101" i="2"/>
  <c r="K109" i="2"/>
  <c r="K117" i="2"/>
  <c r="N117" i="2" s="1"/>
  <c r="K125" i="2"/>
  <c r="K133" i="2"/>
  <c r="K141" i="2"/>
  <c r="K149" i="2"/>
  <c r="K157" i="2"/>
  <c r="K165" i="2"/>
  <c r="K173" i="2"/>
  <c r="N173" i="2" s="1"/>
  <c r="K181" i="2"/>
  <c r="K189" i="2"/>
  <c r="K197" i="2"/>
  <c r="K205" i="2"/>
  <c r="K213" i="2"/>
  <c r="K221" i="2"/>
  <c r="K229" i="2"/>
  <c r="K237" i="2"/>
  <c r="N237" i="2" s="1"/>
  <c r="K11" i="2"/>
  <c r="N11" i="2" s="1"/>
  <c r="K30" i="2"/>
  <c r="K52" i="2"/>
  <c r="K75" i="2"/>
  <c r="K94" i="2"/>
  <c r="K116" i="2"/>
  <c r="K139" i="2"/>
  <c r="K158" i="2"/>
  <c r="K180" i="2"/>
  <c r="N180" i="2" s="1"/>
  <c r="K203" i="2"/>
  <c r="K222" i="2"/>
  <c r="K244" i="2"/>
  <c r="K12" i="2"/>
  <c r="K35" i="2"/>
  <c r="K54" i="2"/>
  <c r="K76" i="2"/>
  <c r="N76" i="2" s="1"/>
  <c r="K99" i="2"/>
  <c r="N99" i="2" s="1"/>
  <c r="K118" i="2"/>
  <c r="N118" i="2" s="1"/>
  <c r="K140" i="2"/>
  <c r="K163" i="2"/>
  <c r="K182" i="2"/>
  <c r="K204" i="2"/>
  <c r="K227" i="2"/>
  <c r="K14" i="2"/>
  <c r="N14" i="2" s="1"/>
  <c r="K36" i="2"/>
  <c r="N36" i="2" s="1"/>
  <c r="K59" i="2"/>
  <c r="K78" i="2"/>
  <c r="K100" i="2"/>
  <c r="K123" i="2"/>
  <c r="K142" i="2"/>
  <c r="K164" i="2"/>
  <c r="K187" i="2"/>
  <c r="K206" i="2"/>
  <c r="N206" i="2" s="1"/>
  <c r="K228" i="2"/>
  <c r="K19" i="2"/>
  <c r="K38" i="2"/>
  <c r="K60" i="2"/>
  <c r="K83" i="2"/>
  <c r="K102" i="2"/>
  <c r="K124" i="2"/>
  <c r="N124" i="2" s="1"/>
  <c r="K147" i="2"/>
  <c r="N147" i="2" s="1"/>
  <c r="K166" i="2"/>
  <c r="K188" i="2"/>
  <c r="K211" i="2"/>
  <c r="K230" i="2"/>
  <c r="K20" i="2"/>
  <c r="K43" i="2"/>
  <c r="K62" i="2"/>
  <c r="N62" i="2" s="1"/>
  <c r="K84" i="2"/>
  <c r="N84" i="2" s="1"/>
  <c r="K107" i="2"/>
  <c r="K126" i="2"/>
  <c r="K148" i="2"/>
  <c r="K171" i="2"/>
  <c r="K190" i="2"/>
  <c r="K212" i="2"/>
  <c r="K235" i="2"/>
  <c r="N235" i="2" s="1"/>
  <c r="K4" i="2"/>
  <c r="N4" i="2" s="1"/>
  <c r="K27" i="2"/>
  <c r="K46" i="2"/>
  <c r="K68" i="2"/>
  <c r="K91" i="2"/>
  <c r="K110" i="2"/>
  <c r="K132" i="2"/>
  <c r="K155" i="2"/>
  <c r="N155" i="2" s="1"/>
  <c r="K174" i="2"/>
  <c r="K196" i="2"/>
  <c r="K219" i="2"/>
  <c r="K238" i="2"/>
  <c r="K6" i="2"/>
  <c r="K28" i="2"/>
  <c r="K51" i="2"/>
  <c r="K70" i="2"/>
  <c r="N70" i="2" s="1"/>
  <c r="K92" i="2"/>
  <c r="K115" i="2"/>
  <c r="K134" i="2"/>
  <c r="K156" i="2"/>
  <c r="K179" i="2"/>
  <c r="K198" i="2"/>
  <c r="K220" i="2"/>
  <c r="K243" i="2"/>
  <c r="N243" i="2" s="1"/>
  <c r="K86" i="2"/>
  <c r="N86" i="2" s="1"/>
  <c r="K22" i="2"/>
  <c r="K44" i="2"/>
  <c r="K67" i="2"/>
  <c r="K108" i="2"/>
  <c r="K172" i="2"/>
  <c r="K195" i="2"/>
  <c r="N195" i="2" s="1"/>
  <c r="K214" i="2"/>
  <c r="K131" i="2"/>
  <c r="N131" i="2" s="1"/>
  <c r="K150" i="2"/>
  <c r="K3" i="2"/>
  <c r="K236" i="2"/>
  <c r="L6" i="2"/>
  <c r="L14" i="2"/>
  <c r="L22" i="2"/>
  <c r="L30" i="2"/>
  <c r="L38" i="2"/>
  <c r="L46" i="2"/>
  <c r="L54" i="2"/>
  <c r="L62" i="2"/>
  <c r="L70" i="2"/>
  <c r="L78" i="2"/>
  <c r="L86" i="2"/>
  <c r="L94" i="2"/>
  <c r="L102" i="2"/>
  <c r="L110" i="2"/>
  <c r="L118" i="2"/>
  <c r="L126" i="2"/>
  <c r="L134" i="2"/>
  <c r="L142" i="2"/>
  <c r="L150" i="2"/>
  <c r="L158" i="2"/>
  <c r="L166" i="2"/>
  <c r="L174" i="2"/>
  <c r="L182" i="2"/>
  <c r="L7" i="2"/>
  <c r="L15" i="2"/>
  <c r="L23" i="2"/>
  <c r="L31" i="2"/>
  <c r="L39" i="2"/>
  <c r="L47" i="2"/>
  <c r="L55" i="2"/>
  <c r="L63" i="2"/>
  <c r="L71" i="2"/>
  <c r="L79" i="2"/>
  <c r="L87" i="2"/>
  <c r="L95" i="2"/>
  <c r="L103" i="2"/>
  <c r="L111" i="2"/>
  <c r="L119" i="2"/>
  <c r="L127" i="2"/>
  <c r="L135" i="2"/>
  <c r="L143" i="2"/>
  <c r="L151" i="2"/>
  <c r="L159" i="2"/>
  <c r="L167" i="2"/>
  <c r="L175" i="2"/>
  <c r="L183" i="2"/>
  <c r="L191" i="2"/>
  <c r="L8" i="2"/>
  <c r="L16" i="2"/>
  <c r="L24" i="2"/>
  <c r="L32" i="2"/>
  <c r="L40" i="2"/>
  <c r="L48" i="2"/>
  <c r="L56" i="2"/>
  <c r="L3" i="2"/>
  <c r="L11" i="2"/>
  <c r="L19" i="2"/>
  <c r="L27" i="2"/>
  <c r="L35" i="2"/>
  <c r="L43" i="2"/>
  <c r="L51" i="2"/>
  <c r="L59" i="2"/>
  <c r="L67" i="2"/>
  <c r="L75" i="2"/>
  <c r="L83" i="2"/>
  <c r="L91" i="2"/>
  <c r="L99" i="2"/>
  <c r="L107" i="2"/>
  <c r="L115" i="2"/>
  <c r="L123" i="2"/>
  <c r="L131" i="2"/>
  <c r="L139" i="2"/>
  <c r="L147" i="2"/>
  <c r="L155" i="2"/>
  <c r="L163" i="2"/>
  <c r="L171" i="2"/>
  <c r="L179" i="2"/>
  <c r="L187" i="2"/>
  <c r="L195" i="2"/>
  <c r="L4" i="2"/>
  <c r="L20" i="2"/>
  <c r="L36" i="2"/>
  <c r="L52" i="2"/>
  <c r="L66" i="2"/>
  <c r="L80" i="2"/>
  <c r="L92" i="2"/>
  <c r="L105" i="2"/>
  <c r="L117" i="2"/>
  <c r="L130" i="2"/>
  <c r="L144" i="2"/>
  <c r="L156" i="2"/>
  <c r="L169" i="2"/>
  <c r="L181" i="2"/>
  <c r="L193" i="2"/>
  <c r="L202" i="2"/>
  <c r="L210" i="2"/>
  <c r="L218" i="2"/>
  <c r="L226" i="2"/>
  <c r="L234" i="2"/>
  <c r="L242" i="2"/>
  <c r="L5" i="2"/>
  <c r="L21" i="2"/>
  <c r="L37" i="2"/>
  <c r="L53" i="2"/>
  <c r="L68" i="2"/>
  <c r="L81" i="2"/>
  <c r="L93" i="2"/>
  <c r="L106" i="2"/>
  <c r="L120" i="2"/>
  <c r="L132" i="2"/>
  <c r="L145" i="2"/>
  <c r="L157" i="2"/>
  <c r="L170" i="2"/>
  <c r="L184" i="2"/>
  <c r="L194" i="2"/>
  <c r="L203" i="2"/>
  <c r="L211" i="2"/>
  <c r="L219" i="2"/>
  <c r="L227" i="2"/>
  <c r="L235" i="2"/>
  <c r="L243" i="2"/>
  <c r="L9" i="2"/>
  <c r="L25" i="2"/>
  <c r="L41" i="2"/>
  <c r="L57" i="2"/>
  <c r="L69" i="2"/>
  <c r="L82" i="2"/>
  <c r="L96" i="2"/>
  <c r="L108" i="2"/>
  <c r="L121" i="2"/>
  <c r="L133" i="2"/>
  <c r="L146" i="2"/>
  <c r="L160" i="2"/>
  <c r="L172" i="2"/>
  <c r="L185" i="2"/>
  <c r="L196" i="2"/>
  <c r="L204" i="2"/>
  <c r="L212" i="2"/>
  <c r="L220" i="2"/>
  <c r="L228" i="2"/>
  <c r="L236" i="2"/>
  <c r="L244" i="2"/>
  <c r="L10" i="2"/>
  <c r="L26" i="2"/>
  <c r="L42" i="2"/>
  <c r="L58" i="2"/>
  <c r="L72" i="2"/>
  <c r="L84" i="2"/>
  <c r="L97" i="2"/>
  <c r="L109" i="2"/>
  <c r="L122" i="2"/>
  <c r="L136" i="2"/>
  <c r="L148" i="2"/>
  <c r="L161" i="2"/>
  <c r="L173" i="2"/>
  <c r="L186" i="2"/>
  <c r="L197" i="2"/>
  <c r="L205" i="2"/>
  <c r="L213" i="2"/>
  <c r="L221" i="2"/>
  <c r="L229" i="2"/>
  <c r="L237" i="2"/>
  <c r="L17" i="2"/>
  <c r="L33" i="2"/>
  <c r="L49" i="2"/>
  <c r="L64" i="2"/>
  <c r="L76" i="2"/>
  <c r="L89" i="2"/>
  <c r="L101" i="2"/>
  <c r="L114" i="2"/>
  <c r="L128" i="2"/>
  <c r="L140" i="2"/>
  <c r="L153" i="2"/>
  <c r="L165" i="2"/>
  <c r="L178" i="2"/>
  <c r="L190" i="2"/>
  <c r="L200" i="2"/>
  <c r="L208" i="2"/>
  <c r="L216" i="2"/>
  <c r="L224" i="2"/>
  <c r="L232" i="2"/>
  <c r="L240" i="2"/>
  <c r="L45" i="2"/>
  <c r="L85" i="2"/>
  <c r="L116" i="2"/>
  <c r="L152" i="2"/>
  <c r="L188" i="2"/>
  <c r="L209" i="2"/>
  <c r="L231" i="2"/>
  <c r="L12" i="2"/>
  <c r="L50" i="2"/>
  <c r="L88" i="2"/>
  <c r="L124" i="2"/>
  <c r="L154" i="2"/>
  <c r="L189" i="2"/>
  <c r="L214" i="2"/>
  <c r="L233" i="2"/>
  <c r="L13" i="2"/>
  <c r="L60" i="2"/>
  <c r="L90" i="2"/>
  <c r="L125" i="2"/>
  <c r="L162" i="2"/>
  <c r="L192" i="2"/>
  <c r="L215" i="2"/>
  <c r="L238" i="2"/>
  <c r="L18" i="2"/>
  <c r="L61" i="2"/>
  <c r="L98" i="2"/>
  <c r="L129" i="2"/>
  <c r="L164" i="2"/>
  <c r="L198" i="2"/>
  <c r="L217" i="2"/>
  <c r="L239" i="2"/>
  <c r="L28" i="2"/>
  <c r="L65" i="2"/>
  <c r="L100" i="2"/>
  <c r="L137" i="2"/>
  <c r="L168" i="2"/>
  <c r="L199" i="2"/>
  <c r="L222" i="2"/>
  <c r="L241" i="2"/>
  <c r="L34" i="2"/>
  <c r="L74" i="2"/>
  <c r="L112" i="2"/>
  <c r="L141" i="2"/>
  <c r="L177" i="2"/>
  <c r="L206" i="2"/>
  <c r="L225" i="2"/>
  <c r="L44" i="2"/>
  <c r="L77" i="2"/>
  <c r="L113" i="2"/>
  <c r="L149" i="2"/>
  <c r="L180" i="2"/>
  <c r="L207" i="2"/>
  <c r="L230" i="2"/>
  <c r="L138" i="2"/>
  <c r="L201" i="2"/>
  <c r="L104" i="2"/>
  <c r="L176" i="2"/>
  <c r="L223" i="2"/>
  <c r="L73" i="2"/>
  <c r="L29" i="2"/>
  <c r="D2" i="2"/>
  <c r="L2" i="2" s="1"/>
  <c r="C2" i="2"/>
  <c r="K2" i="2" s="1"/>
  <c r="N2" i="2" s="1"/>
  <c r="O2" i="2" s="1"/>
  <c r="A2" i="1"/>
  <c r="K2" i="1"/>
  <c r="J2" i="1"/>
  <c r="I2" i="1"/>
  <c r="H2" i="1"/>
  <c r="G2" i="1"/>
  <c r="F2" i="1"/>
  <c r="E2" i="1"/>
  <c r="D2" i="1"/>
  <c r="C2" i="1"/>
  <c r="N150" i="2" l="1"/>
  <c r="N22" i="2"/>
  <c r="N115" i="2"/>
  <c r="N196" i="2"/>
  <c r="N27" i="2"/>
  <c r="N107" i="2"/>
  <c r="N166" i="2"/>
  <c r="N228" i="2"/>
  <c r="N203" i="2"/>
  <c r="N30" i="2"/>
  <c r="N189" i="2"/>
  <c r="N125" i="2"/>
  <c r="N61" i="2"/>
  <c r="N242" i="2"/>
  <c r="N178" i="2"/>
  <c r="N114" i="2"/>
  <c r="N50" i="2"/>
  <c r="N225" i="2"/>
  <c r="N161" i="2"/>
  <c r="N97" i="2"/>
  <c r="N33" i="2"/>
  <c r="N208" i="2"/>
  <c r="N144" i="2"/>
  <c r="N80" i="2"/>
  <c r="N16" i="2"/>
  <c r="N191" i="2"/>
  <c r="N127" i="2"/>
  <c r="N63" i="2"/>
  <c r="N17" i="2"/>
  <c r="N192" i="2"/>
  <c r="N128" i="2"/>
  <c r="N54" i="2"/>
  <c r="N182" i="2"/>
  <c r="N60" i="2"/>
  <c r="N67" i="2"/>
  <c r="N174" i="2"/>
  <c r="N181" i="2"/>
  <c r="N153" i="2"/>
  <c r="N183" i="2"/>
  <c r="N158" i="2"/>
  <c r="N109" i="2"/>
  <c r="N34" i="2"/>
  <c r="N209" i="2"/>
  <c r="N239" i="2"/>
  <c r="N175" i="2"/>
  <c r="N111" i="2"/>
  <c r="N47" i="2"/>
  <c r="N220" i="2"/>
  <c r="N51" i="2"/>
  <c r="N132" i="2"/>
  <c r="N212" i="2"/>
  <c r="N43" i="2"/>
  <c r="N102" i="2"/>
  <c r="N164" i="2"/>
  <c r="N227" i="2"/>
  <c r="N139" i="2"/>
  <c r="N229" i="2"/>
  <c r="N165" i="2"/>
  <c r="N101" i="2"/>
  <c r="N37" i="2"/>
  <c r="N218" i="2"/>
  <c r="N154" i="2"/>
  <c r="N90" i="2"/>
  <c r="N26" i="2"/>
  <c r="N201" i="2"/>
  <c r="N137" i="2"/>
  <c r="N73" i="2"/>
  <c r="N9" i="2"/>
  <c r="N184" i="2"/>
  <c r="N120" i="2"/>
  <c r="N56" i="2"/>
  <c r="N231" i="2"/>
  <c r="N167" i="2"/>
  <c r="N103" i="2"/>
  <c r="N39" i="2"/>
  <c r="N55" i="2"/>
  <c r="N187" i="2"/>
  <c r="N172" i="2"/>
  <c r="N198" i="2"/>
  <c r="N28" i="2"/>
  <c r="N110" i="2"/>
  <c r="N190" i="2"/>
  <c r="N20" i="2"/>
  <c r="N83" i="2"/>
  <c r="N142" i="2"/>
  <c r="N204" i="2"/>
  <c r="N35" i="2"/>
  <c r="N116" i="2"/>
  <c r="N221" i="2"/>
  <c r="N157" i="2"/>
  <c r="N93" i="2"/>
  <c r="N29" i="2"/>
  <c r="N210" i="2"/>
  <c r="N146" i="2"/>
  <c r="N82" i="2"/>
  <c r="N18" i="2"/>
  <c r="N193" i="2"/>
  <c r="N129" i="2"/>
  <c r="N65" i="2"/>
  <c r="N240" i="2"/>
  <c r="N176" i="2"/>
  <c r="N112" i="2"/>
  <c r="N48" i="2"/>
  <c r="N223" i="2"/>
  <c r="N159" i="2"/>
  <c r="N95" i="2"/>
  <c r="N31" i="2"/>
  <c r="N59" i="2"/>
  <c r="N119" i="2"/>
  <c r="N108" i="2"/>
  <c r="N179" i="2"/>
  <c r="N6" i="2"/>
  <c r="N91" i="2"/>
  <c r="N171" i="2"/>
  <c r="N230" i="2"/>
  <c r="N123" i="2"/>
  <c r="N12" i="2"/>
  <c r="N94" i="2"/>
  <c r="N213" i="2"/>
  <c r="N149" i="2"/>
  <c r="N85" i="2"/>
  <c r="N21" i="2"/>
  <c r="N202" i="2"/>
  <c r="N138" i="2"/>
  <c r="N74" i="2"/>
  <c r="N10" i="2"/>
  <c r="N185" i="2"/>
  <c r="N121" i="2"/>
  <c r="N57" i="2"/>
  <c r="N232" i="2"/>
  <c r="N168" i="2"/>
  <c r="N104" i="2"/>
  <c r="N40" i="2"/>
  <c r="N215" i="2"/>
  <c r="N151" i="2"/>
  <c r="N87" i="2"/>
  <c r="N23" i="2"/>
  <c r="N64" i="2"/>
  <c r="N236" i="2"/>
  <c r="N156" i="2"/>
  <c r="N238" i="2"/>
  <c r="N68" i="2"/>
  <c r="N148" i="2"/>
  <c r="N211" i="2"/>
  <c r="N38" i="2"/>
  <c r="N100" i="2"/>
  <c r="N163" i="2"/>
  <c r="N244" i="2"/>
  <c r="N75" i="2"/>
  <c r="N205" i="2"/>
  <c r="N141" i="2"/>
  <c r="N77" i="2"/>
  <c r="N13" i="2"/>
  <c r="N194" i="2"/>
  <c r="N130" i="2"/>
  <c r="N66" i="2"/>
  <c r="N241" i="2"/>
  <c r="N177" i="2"/>
  <c r="N113" i="2"/>
  <c r="N49" i="2"/>
  <c r="N224" i="2"/>
  <c r="N160" i="2"/>
  <c r="N96" i="2"/>
  <c r="N32" i="2"/>
  <c r="N207" i="2"/>
  <c r="N143" i="2"/>
  <c r="N79" i="2"/>
  <c r="N15" i="2"/>
  <c r="N92" i="2"/>
  <c r="N214" i="2"/>
  <c r="N3" i="2"/>
  <c r="N44" i="2"/>
  <c r="N134" i="2"/>
  <c r="N219" i="2"/>
  <c r="N46" i="2"/>
  <c r="N126" i="2"/>
  <c r="N188" i="2"/>
  <c r="N19" i="2"/>
  <c r="N78" i="2"/>
  <c r="N140" i="2"/>
  <c r="N222" i="2"/>
  <c r="N52" i="2"/>
  <c r="N197" i="2"/>
  <c r="N133" i="2"/>
  <c r="N69" i="2"/>
  <c r="N5" i="2"/>
  <c r="N186" i="2"/>
  <c r="N122" i="2"/>
  <c r="N58" i="2"/>
  <c r="N233" i="2"/>
  <c r="N169" i="2"/>
  <c r="N105" i="2"/>
  <c r="N41" i="2"/>
  <c r="N216" i="2"/>
  <c r="N152" i="2"/>
  <c r="N88" i="2"/>
  <c r="N24" i="2"/>
  <c r="N199" i="2"/>
  <c r="N135" i="2"/>
  <c r="N71" i="2"/>
  <c r="N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25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</futureMetadata>
  <cellMetadata count="1">
    <bk>
      <rc t="1" v="0"/>
    </bk>
  </cellMetadata>
  <valueMetadata count="225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</valueMetadata>
</metadata>
</file>

<file path=xl/sharedStrings.xml><?xml version="1.0" encoding="utf-8"?>
<sst xmlns="http://schemas.openxmlformats.org/spreadsheetml/2006/main" count="31" uniqueCount="26">
  <si>
    <t>Date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</si>
  <si>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</si>
  <si>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</si>
  <si>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</si>
  <si>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</si>
  <si>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</si>
  <si>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</si>
  <si>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</si>
  <si>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</si>
  <si>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 9</t>
  </si>
  <si>
    <t>Ticker 10</t>
  </si>
  <si>
    <t>Shares 1</t>
  </si>
  <si>
    <t>Shares 2</t>
  </si>
  <si>
    <t>Shares 3</t>
  </si>
  <si>
    <t>Shares 4</t>
  </si>
  <si>
    <t>Market Cap 1</t>
  </si>
  <si>
    <t>Market Cap 2</t>
  </si>
  <si>
    <t>Market Cap 3</t>
  </si>
  <si>
    <t>Market Cap 4</t>
  </si>
  <si>
    <t>Total Market Cap</t>
  </si>
  <si>
    <t>Daily return</t>
  </si>
  <si>
    <t>Weight 1</t>
  </si>
  <si>
    <t>Weight 2</t>
  </si>
  <si>
    <t>Weight 3</t>
  </si>
  <si>
    <t>Weight 4</t>
  </si>
  <si>
    <t>Index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</si>
</sst>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6">
  <a r="1" c="189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</a>
  <a r="1" c="189">
    <v>207.39</v>
    <v>212.61</v>
    <v>211.11</v>
    <v>217.75</v>
    <v>218.6</v>
    <v>221.09</v>
    <v>222.1</v>
    <v>223.62</v>
    <v>223.06</v>
    <v>223</v>
    <v>219.46</v>
    <v>220.41</v>
    <v>224.31</v>
    <v>224.18</v>
    <v>223.89</v>
    <v>224.9</v>
    <v>224.71</v>
    <v>231.44</v>
    <v>229.1</v>
    <v>230.21</v>
    <v>230.9</v>
    <v>229.56</v>
    <v>230.13</v>
    <v>229.44</v>
    <v>231.32</v>
    <v>230.2</v>
    <v>229.35</v>
    <v>227.2</v>
    <v>228.88</v>
    <v>229.39</v>
    <v>228.92</v>
    <v>225.83</v>
    <v>223.56</v>
    <v>220.62</v>
    <v>220.02</v>
    <v>221.13</v>
    <v>219.55</v>
    <v>220.35</v>
    <v>219.94</v>
    <v>218.36</v>
    <v>219.06</v>
    <v>223.77</v>
    <v>226.75</v>
    <v>223.17</v>
    <v>222.19</v>
    <v>220.01</v>
    <v>216.14</v>
    <v>214.47</v>
    <v>218.66</v>
    <v>216.37</v>
    <v>217.45</v>
    <v>217.39</v>
    <v>218.15</v>
    <v>221.95</v>
    <v>220.04</v>
    <v>222.59</v>
    <v>221.04</v>
    <v>221.81</v>
    <v>220.33</v>
    <v>223.3</v>
    <v>222.36</v>
    <v>225.46</v>
    <v>229</v>
    <v>227.66</v>
    <v>228.17</v>
    <v>225.99</v>
    <v>226.43</v>
    <v>228.45</v>
    <v>227.81</v>
    <v>232.69</v>
    <v>234.02</v>
    <v>233.48</v>
    <v>233.6</v>
    <v>232.57</v>
    <v>234.6</v>
    <v>234.05</v>
    <v>232.76</v>
    <v>229.59</v>
    <v>228.15</v>
    <v>229.01</v>
    <v>232.73</v>
    <v>232.51</v>
    <v>226.98</v>
    <v>225.98</v>
    <v>225.6</v>
    <v>231.78</v>
    <v>232.23</v>
    <v>233.26</v>
    <v>231.27</v>
    <v>231.01</v>
    <v>231.38</v>
    <v>232.81</v>
    <v>230.47</v>
    <v>232.65</v>
    <v>233.6</v>
    <v>233.31</v>
    <v>231.28</v>
    <v>224.58</v>
    <v>222.25</v>
    <v>223.38</v>
    <v>225.01</v>
    <v>221.64</v>
    <v>221.03</v>
    <v>226.5</v>
    <v>228.79</v>
    <v>226.77</v>
    <v>228.22</v>
    <v>225.27</v>
    <v>223.05</v>
    <v>223.56</v>
    <v>226.17</v>
    <v>223.4</v>
    <v>223.44</v>
    <v>226.17</v>
    <v>228.91</v>
    <v>226.47</v>
    <v>227.25</v>
    <v>228.39</v>
    <v>229.55</v>
    <v>226.3</v>
    <v>227.34</v>
    <v>227.96</v>
    <v>234.32</v>
    <v>237.48</v>
    <v>237.97</v>
    <v>239.45</v>
    <v>238.88</v>
    <v>236.45</v>
    <v>238.16</v>
    <v>240.55</v>
    <v>242.21</v>
    <v>243.31</v>
    <v>243.16</v>
    <v>243.99</v>
    <v>240.77</v>
    <v>241.42</v>
    <v>239.62</v>
    <v>239.25</v>
    <v>240.74</v>
    <v>238.69</v>
    <v>237.1</v>
    <v>234.44</v>
    <v>235.75</v>
    <v>237.73</v>
    <v>239.78</v>
    <v>237.56</v>
    <v>238.76</v>
    <v>238.99</v>
    <v>241.51</v>
    <v>239.29</v>
    <v>239.76</v>
    <v>240.16</v>
    <v>240.04</v>
    <v>242.9</v>
    <v>239.83</v>
    <v>239.29</v>
    <v>237.37</v>
    <v>238.17</v>
    <v>239.46</v>
    <v>240.57</v>
    <v>242.3</v>
    <v>239.47</v>
    <v>242.57</v>
    <v>243.83</v>
    <v>245.34</v>
    <v>246.23</v>
    <v>245.68</v>
    <v>248.11</v>
    <v>245.34</v>
    <v>246.16</v>
    <v>247.14</v>
    <v>247.29</v>
    <v>247.22</v>
    <v>247.3</v>
    <v>247.83</v>
    <v>241.5</v>
    <v>241.07</v>
    <v>244.66</v>
    <v>243.56</v>
    <v>241.86</v>
    <v>236.61</v>
    <v>235.08</v>
    <v>233.36</v>
    <v>229.65</v>
    <v>229.5</v>
    <v>231.66</v>
    <v>230.01</v>
    <v>231.27</v>
    <v>228.81</v>
  </a>
  <a r="1" c="189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</a>
  <a r="1" c="243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</a>
  <a r="1" c="243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</a>
  <a r="1" c="189">
    <v>85.82</v>
    <v>85.14</v>
    <v>83.12</v>
    <v>86.08</v>
    <v>87.36</v>
    <v>89.87</v>
    <v>95.09</v>
    <v>95.27</v>
    <v>98.12</v>
    <v>96.05</v>
    <v>95.46</v>
    <v>93.68</v>
    <v>97.25</v>
    <v>97.52</v>
    <v>96.32</v>
    <v>97.18</v>
    <v>99.22</v>
    <v>102.24</v>
    <v>100.55</v>
    <v>103.13</v>
    <v>105.15</v>
    <v>112.91</v>
    <v>103.39</v>
    <v>102.18</v>
    <v>102.11</v>
    <v>100.05</v>
    <v>98.24</v>
    <v>97.61</v>
    <v>99.54</v>
    <v>99.7</v>
    <v>101.16</v>
    <v>98.15</v>
    <v>97.2</v>
    <v>94.58</v>
    <v>95.79</v>
    <v>95.82</v>
    <v>93.5</v>
    <v>93.76</v>
    <v>94.23</v>
    <v>92.17</v>
    <v>92.13</v>
    <v>94.9</v>
    <v>93.75</v>
    <v>93.55</v>
    <v>93.92</v>
    <v>92.25</v>
    <v>90.73</v>
    <v>92.43</v>
    <v>94.88</v>
    <v>96.2</v>
    <v>100.04</v>
    <v>98.95</v>
    <v>97.71</v>
    <v>100.61</v>
    <v>98.7</v>
    <v>98.71</v>
    <v>98.13</v>
    <v>98.04</v>
    <v>97.24</v>
    <v>100.25</v>
    <v>102</v>
    <v>103.29</v>
    <v>102.41</v>
    <v>103.95</v>
    <v>101.1</v>
    <v>102.06</v>
    <v>102.17</v>
    <v>99.92</v>
    <v>97.83</v>
    <v>102.4</v>
    <v>102.51</v>
    <v>102.74</v>
    <v>102.3</v>
    <v>104.3</v>
    <v>103.81</v>
    <v>106.96</v>
    <v>106.21</v>
    <v>102.57</v>
    <v>104.98</v>
    <v>109.82</v>
    <v>105.45</v>
    <v>102.05</v>
    <v>103.63</v>
    <v>103.65</v>
    <v>104</v>
    <v>105.655</v>
    <v>105.83</v>
    <v>106.62</v>
    <v>110.19</v>
    <v>112.18</v>
    <v>110.26</v>
    <v>111.2</v>
    <v>113.4</v>
    <v>115.5</v>
    <v>118.15</v>
    <v>116.25</v>
    <v>115.01</v>
    <v>114.99</v>
    <v>116.75</v>
    <v>115</v>
    <v>120.11</v>
    <v>121.66</v>
    <v>120.58</v>
    <v>122.77</v>
    <v>124.25</v>
    <v>125.3</v>
    <v>126.61</v>
    <v>121.23</v>
    <v>124.25</v>
    <v>123.43</v>
    <v>126.57</v>
    <v>126.66</v>
    <v>126.42</v>
    <v>127.11</v>
    <v>125.49</v>
    <v>125.78</v>
    <v>124.83</v>
    <v>130.15</v>
    <v>129.33000000000001</v>
    <v>127.33</v>
    <v>129.18</v>
    <v>129.04</v>
    <v>127.9</v>
    <v>130.36000000000001</v>
    <v>130.22</v>
    <v>130.38</v>
    <v>128.36000000000001</v>
    <v>129.78</v>
    <v>127.13</v>
    <v>128.78</v>
    <v>130.80000000000001</v>
    <v>134.30000000000001</v>
    <v>134.68</v>
    <v>133.56</v>
    <v>132.83000000000001</v>
    <v>135.36000000000001</v>
    <v>129.96</v>
    <v>130</v>
    <v>128.80000000000001</v>
    <v>129.13</v>
    <v>128.15</v>
    <v>128.25</v>
    <v>132.21</v>
    <v>133.68</v>
    <v>131.69</v>
    <v>128.21</v>
    <v>128.91</v>
    <v>139.57</v>
    <v>142.22</v>
    <v>139.94</v>
    <v>137.85</v>
    <v>138.56</v>
    <v>138.41</v>
    <v>140.57</v>
    <v>137.66999999999999</v>
    <v>135.07</v>
    <v>133.97999999999999</v>
    <v>133.22</v>
    <v>134.68</v>
    <v>134.25</v>
    <v>135.52000000000001</v>
    <v>131.84</v>
    <v>133.26</v>
    <v>133.13999999999999</v>
    <v>134.91</v>
    <v>135.07</v>
    <v>138.01</v>
    <v>138.12</v>
    <v>137.27000000000001</v>
    <v>135.36000000000001</v>
    <v>137.85</v>
    <v>138.22999999999999</v>
    <v>143.1</v>
    <v>141.22999999999999</v>
    <v>144.85</v>
    <v>144.72</v>
    <v>140.38999999999999</v>
    <v>139.97999999999999</v>
    <v>137.63</v>
    <v>135.29</v>
    <v>129.33000000000001</v>
    <v>129.12</v>
    <v>131.27000000000001</v>
    <v>125.98</v>
    <v>125.98</v>
    <v>125.98</v>
    <v>127.12</v>
    <v>129.46</v>
    <v>124.72</v>
  </a>
  <a r="1" c="189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</a>
  <a r="1" c="243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</a>
  <a r="1" c="189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</a>
  <a r="1" c="243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  <v>135.24</v>
    <v>135.07</v>
    <v>137.58000000000001</v>
    <v>138.41999999999999</v>
    <v>138.06</v>
    <v>140.55000000000001</v>
    <v>138.97</v>
    <v>137.36000000000001</v>
    <v>139.095</v>
    <v>139.72</v>
    <v>137.96</v>
    <v>137.75</v>
    <v>135.6</v>
    <v>136.5</v>
    <v>138.81</v>
    <v>125.61</v>
    <v>122.28</v>
    <v>122.17</v>
    <v>124.46</v>
    <v>124.08</v>
    <v>126.45</v>
    <v>127.49</v>
    <v>129.1</v>
    <v>130.25</v>
    <v>130.97</v>
    <v>131.84</v>
    <v>130.24</v>
    <v>132.59</v>
    <v>132.09</v>
    <v>133.62</v>
    <v>134.62</v>
    <v>136.93</v>
    <v>135.31</v>
    <v>136.25</v>
    <v>136.97</v>
    <v>138.49</v>
    <v>136.69</v>
    <v>136.41</v>
    <v>137.19999999999999</v>
    <v>134.99</v>
    <v>132.53</v>
    <v>131.86000000000001</v>
    <v>129.27000000000001</v>
    <v>130.99</v>
    <v>130.02000000000001</v>
    <v>136.93</v>
    <v>134.99</v>
    <v>133.29</v>
    <v>132.52000000000001</v>
    <v>132.57</v>
    <v>131.94</v>
    <v>132.6</v>
    <v>135.80000000000001</v>
    <v>136.65</v>
  </a>
  <a r="1" c="189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</a>
  <a r="1" c="243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  <v>305.58</v>
    <v>304.79000000000002</v>
    <v>315.43</v>
    <v>318.36</v>
    <v>321.83999999999997</v>
    <v>327.82</v>
    <v>324.16000000000003</v>
    <v>314.69</v>
    <v>321.14999999999998</v>
    <v>324</v>
    <v>316.97000000000003</v>
    <v>312.81</v>
    <v>308.64999999999998</v>
    <v>314.01</v>
    <v>312.55</v>
    <v>299.52999999999997</v>
    <v>288.35000000000002</v>
    <v>296.73</v>
    <v>302.66000000000003</v>
    <v>301.27</v>
    <v>311.85000000000002</v>
    <v>310.87</v>
    <v>314.60000000000002</v>
    <v>315.8</v>
    <v>318.82</v>
    <v>319.77999999999997</v>
    <v>320.55</v>
    <v>328.77</v>
    <v>329.19</v>
    <v>336.31</v>
    <v>332.71</v>
    <v>334.19</v>
    <v>335.04</v>
    <v>339.97</v>
    <v>336.98</v>
    <v>341.49</v>
    <v>338.23</v>
    <v>334.7</v>
    <v>338.99</v>
    <v>332.2</v>
    <v>327.14999999999998</v>
    <v>324.82</v>
    <v>320.02</v>
    <v>318.29000000000002</v>
    <v>317.45</v>
    <v>326.58999999999997</v>
    <v>332.75</v>
    <v>325.27999999999997</v>
    <v>334.22</v>
    <v>334.74</v>
    <v>333.17</v>
    <v>334.92</v>
    <v>344.62</v>
    <v>350.36</v>
  </a>
  <a r="1" c="189">
    <v>14.315</v>
    <v>14.749000000000001</v>
    <v>14.265000000000001</v>
    <v>14.859</v>
    <v>15.628</v>
    <v>15.909000000000001</v>
    <v>16.001000000000001</v>
    <v>16.510999999999999</v>
    <v>16.899000000000001</v>
    <v>17.702000000000002</v>
    <v>17.376999999999999</v>
    <v>16.765000000000001</v>
    <v>17.838999999999999</v>
    <v>19.193000000000001</v>
    <v>19.265000000000001</v>
    <v>19.323</v>
    <v>19.802</v>
    <v>20.364999999999998</v>
    <v>19.161999999999999</v>
    <v>19.536999999999999</v>
    <v>20.943000000000001</v>
    <v>21.709</v>
    <v>21.1</v>
    <v>21.088999999999999</v>
    <v>22.172999999999998</v>
    <v>22.204999999999998</v>
    <v>22.337</v>
    <v>21.265000000000001</v>
    <v>21.788</v>
    <v>22.971</v>
    <v>22.763999999999999</v>
    <v>22.001999999999999</v>
    <v>21.388000000000002</v>
    <v>20.655000000000001</v>
    <v>20.754000000000001</v>
    <v>23.664000000000001</v>
    <v>23.286000000000001</v>
    <v>23.501000000000001</v>
    <v>23.216000000000001</v>
    <v>22.698</v>
    <v>23.314</v>
    <v>23.89</v>
    <v>23.553999999999998</v>
    <v>23.288</v>
    <v>24.181000000000001</v>
    <v>23.436</v>
    <v>22.965</v>
    <v>22.966000000000001</v>
    <v>24.062999999999999</v>
    <v>24.228000000000002</v>
    <v>25.541</v>
    <v>25.725000000000001</v>
    <v>25.9</v>
    <v>26.199000000000002</v>
    <v>26.468</v>
    <v>27.190999999999999</v>
    <v>26.779</v>
    <v>26.530999999999999</v>
    <v>26.41</v>
    <v>26.984000000000002</v>
    <v>27.382999999999999</v>
    <v>27.777000000000001</v>
    <v>27.965</v>
    <v>27.452999999999999</v>
    <v>26.881</v>
    <v>27.036999999999999</v>
    <v>27.579000000000001</v>
    <v>27.169</v>
    <v>26.495000000000001</v>
    <v>26.463000000000001</v>
    <v>26.757999999999999</v>
    <v>27.001999999999999</v>
    <v>27.667000000000002</v>
    <v>27.931000000000001</v>
    <v>27.103999999999999</v>
    <v>27.119</v>
    <v>27.042000000000002</v>
    <v>26.241</v>
    <v>26.956</v>
    <v>27.225999999999999</v>
    <v>27.748999999999999</v>
    <v>28.91</v>
    <v>28.21</v>
    <v>27.802</v>
    <v>27.562000000000001</v>
    <v>28.68</v>
    <v>29.151</v>
    <v>28.571000000000002</v>
    <v>28.885000000000002</v>
    <v>28.577999999999999</v>
    <v>28.34</v>
    <v>28.952999999999999</v>
    <v>29.213000000000001</v>
    <v>30.178000000000001</v>
    <v>31.678000000000001</v>
    <v>31.263999999999999</v>
    <v>31.175999999999998</v>
    <v>30.687999999999999</v>
    <v>30.538</v>
    <v>37.979999999999997</v>
    <v>38.945999999999998</v>
    <v>40.110999999999997</v>
    <v>37.834000000000003</v>
    <v>39.770000000000003</v>
    <v>39.326999999999998</v>
    <v>39.170999999999999</v>
    <v>38.654000000000003</v>
    <v>37.475000000000001</v>
    <v>38.51</v>
    <v>38.770000000000003</v>
    <v>39.481999999999999</v>
    <v>41.021999999999998</v>
    <v>42.997</v>
    <v>42.652999999999999</v>
    <v>42.692</v>
    <v>43.808</v>
    <v>43.045000000000002</v>
    <v>43.024999999999999</v>
    <v>42.209000000000003</v>
    <v>40.631999999999998</v>
    <v>41.875999999999998</v>
    <v>41.116999999999997</v>
    <v>40.822000000000003</v>
    <v>42.302</v>
    <v>42.412999999999997</v>
    <v>42.317</v>
    <v>42.103000000000002</v>
    <v>42.503</v>
    <v>42.18</v>
    <v>42.405000000000001</v>
    <v>43.902000000000001</v>
    <v>45.976999999999997</v>
    <v>45.469000000000001</v>
    <v>46.460999999999999</v>
    <v>47.494</v>
    <v>47.076999999999998</v>
    <v>45.52</v>
    <v>44.308999999999997</v>
    <v>44.612000000000002</v>
    <v>45.679000000000002</v>
    <v>45.451999999999998</v>
    <v>45.9</v>
    <v>46.75</v>
    <v>46.728999999999999</v>
    <v>46.506999999999998</v>
    <v>44.268999999999998</v>
    <v>44.515000000000001</v>
    <v>44.68</v>
    <v>45.416499999999999</v>
    <v>44.664000000000001</v>
    <v>42.554000000000002</v>
    <v>42.387999999999998</v>
    <v>40.854999999999997</v>
    <v>43.753</v>
    <v>43.94</v>
    <v>43.485999999999997</v>
    <v>43.343499999999999</v>
    <v>43.298999999999999</v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</a>
  <a r="1" c="189">
    <v>135.12</v>
    <v>136.38</v>
    <v>135.35</v>
    <v>137.94</v>
    <v>137.37</v>
    <v>138.6</v>
    <v>139.63</v>
    <v>139.49</v>
    <v>143.01</v>
    <v>140.80000000000001</v>
    <v>136.57</v>
    <v>134.75</v>
    <v>135.08000000000001</v>
    <v>137.27000000000001</v>
    <v>138.44999999999999</v>
    <v>139.12</v>
    <v>139.97999999999999</v>
    <v>140.32</v>
    <v>139.13</v>
    <v>139.96</v>
    <v>139.59</v>
    <v>138.94</v>
    <v>141.09</v>
    <v>141.91999999999999</v>
    <v>143.65</v>
    <v>142.63999999999999</v>
    <v>140.41999999999999</v>
    <v>141.04</v>
    <v>142.57</v>
    <v>143.19999999999999</v>
    <v>143.80000000000001</v>
    <v>141.82</v>
    <v>142.24</v>
    <v>139.63</v>
    <v>138.56</v>
    <v>139.66999999999999</v>
    <v>140.93</v>
    <v>142.16</v>
    <v>143.35</v>
    <v>142.55000000000001</v>
    <v>141.07</v>
    <v>143.66</v>
    <v>142.82</v>
    <v>138.62</v>
    <v>137.80000000000001</v>
    <v>130.34</v>
    <v>133.65</v>
    <v>131.25</v>
    <v>134.62</v>
    <v>128.26</v>
    <v>130.75</v>
    <v>125.81</v>
    <v>127.14</v>
    <v>130.55000000000001</v>
    <v>127.18</v>
    <v>126.84</v>
    <v>124.91</v>
    <v>128.49</v>
    <v>128.88</v>
    <v>129.13999999999999</v>
    <v>128.75</v>
    <v>130.31</v>
    <v>130.16</v>
    <v>128.41999999999999</v>
    <v>127.61</v>
    <v>127.47</v>
    <v>127.89</v>
    <v>128.52000000000001</v>
    <v>128.5</v>
    <v>128.99</v>
    <v>138.72999999999999</v>
    <v>139.83000000000001</v>
    <v>141.4</v>
    <v>141.22</v>
    <v>140.81</v>
    <v>140.54</v>
    <v>140.72999999999999</v>
    <v>137.66999999999999</v>
    <v>135.22999999999999</v>
    <v>137.05000000000001</v>
    <v>138.24</v>
    <v>141.19999999999999</v>
    <v>138.91999999999999</v>
    <v>135.97999999999999</v>
    <v>134.12</v>
    <v>136.74</v>
    <v>137.07</v>
    <v>136.41</v>
    <v>136.47999999999999</v>
    <v>136.05000000000001</v>
    <v>134.1</v>
    <v>135.22999999999999</v>
    <v>134.32</v>
    <v>138.44999999999999</v>
    <v>139.5</v>
    <v>139.18</v>
    <v>138.03</v>
    <v>136.59</v>
    <v>135.34</v>
    <v>135.66999999999999</v>
    <v>136.94</v>
    <v>137.46</v>
    <v>135.71</v>
    <v>137.58000000000001</v>
    <v>140.47</v>
    <v>139.09</v>
    <v>139.34</v>
    <v>140.69</v>
    <v>140.72999999999999</v>
    <v>141.01</v>
    <v>141</v>
    <v>142.02000000000001</v>
    <v>141.49</v>
    <v>143.09</v>
    <v>143.26</v>
    <v>142.53</v>
    <v>142.32</v>
    <v>139.58000000000001</v>
    <v>138.85</v>
    <v>139.19</v>
    <v>139.19999999999999</v>
    <v>138.59</v>
    <v>143.43</v>
    <v>145.44</v>
    <v>146.61000000000001</v>
    <v>144.63999999999999</v>
    <v>143.21</v>
    <v>144.34</v>
    <v>145.15</v>
    <v>147.41999999999999</v>
    <v>148.15</v>
    <v>148.87</v>
    <v>149.77000000000001</v>
    <v>153.38</v>
    <v>153.66</v>
    <v>154.25</v>
    <v>156.15</v>
    <v>154.94999999999999</v>
    <v>158</v>
    <v>156.82</v>
    <v>157.76</v>
    <v>156.02000000000001</v>
    <v>156.91</v>
    <v>157.96</v>
    <v>157.18</v>
    <v>155.4</v>
    <v>156.35</v>
    <v>156.02000000000001</v>
    <v>156.76</v>
    <v>155.88</v>
    <v>153.79</v>
    <v>153.56</v>
    <v>154.44999999999999</v>
    <v>154.77000000000001</v>
    <v>150.83000000000001</v>
    <v>150.19</v>
    <v>148.63</v>
    <v>148.97</v>
    <v>149.47999999999999</v>
    <v>146.38</v>
    <v>147.37</v>
    <v>147.22999999999999</v>
    <v>147.05000000000001</v>
    <v>147.56</v>
    <v>148.76</v>
    <v>148.16</v>
    <v>146.33000000000001</v>
    <v>146.82</v>
    <v>145.19999999999999</v>
    <v>144.96</v>
    <v>143.72</v>
    <v>143.83000000000001</v>
    <v>144.46</v>
    <v>146.34</v>
    <v>146.41</v>
    <v>149.25</v>
    <v>148.81</v>
    <v>149.12</v>
    <v>148.93</v>
    <v>148.30000000000001</v>
    <v>147.13999999999999</v>
    <v>145.72999999999999</v>
    <v>146.44999999999999</v>
    <v>144.93</v>
    <v>145.78</v>
    <v>147.59</v>
    <v>145.02000000000001</v>
    <v>143.77000000000001</v>
    <v>142.71</v>
  </a>
  <a r="1" c="189">
    <v>178.19</v>
    <v>180.13</v>
    <v>178.8</v>
    <v>180.25</v>
    <v>175.58</v>
    <v>175.16</v>
    <v>174.88</v>
    <v>174</v>
    <v>173.43</v>
    <v>172.36</v>
    <v>169.76</v>
    <v>169.53</v>
    <v>168.74</v>
    <v>168.31</v>
    <v>168.31</v>
    <v>169.51</v>
    <v>168.89</v>
    <v>168.23</v>
    <v>162</v>
    <v>163.41999999999999</v>
    <v>164.92</v>
    <v>165.54</v>
    <v>164.61</v>
    <v>163.36000000000001</v>
    <v>163.4</v>
    <v>163.61000000000001</v>
    <v>161.4</v>
    <v>162.15</v>
    <v>162.75</v>
    <v>162.04</v>
    <v>159.37</v>
    <v>158.24</v>
    <v>160.38999999999999</v>
    <v>158</v>
    <v>157.78</v>
    <v>157.72999999999999</v>
    <v>155.97</v>
    <v>155.63</v>
    <v>153.26</v>
    <v>152.57</v>
    <v>152.44999999999999</v>
    <v>154.02000000000001</v>
    <v>155.56</v>
    <v>154.09</v>
    <v>152.96</v>
    <v>151.24</v>
    <v>151.61000000000001</v>
    <v>153.06</v>
    <v>153.91999999999999</v>
    <v>154.35</v>
    <v>154.03</v>
    <v>152.38</v>
    <v>153.88999999999999</v>
    <v>153.88999999999999</v>
    <v>151.05000000000001</v>
    <v>151.13</v>
    <v>152.65</v>
    <v>153.30000000000001</v>
    <v>151.82</v>
    <v>153.31</v>
    <v>153.43</v>
    <v>155</v>
    <v>156.85</v>
    <v>158.49</v>
    <v>165.61</v>
    <v>165.15</v>
    <v>164.32</v>
    <v>164.27</v>
    <v>163.92</v>
    <v>166.11</v>
    <v>165.84</v>
    <v>165.67</v>
    <v>161.01</v>
    <v>162.53</v>
    <v>163.58000000000001</v>
    <v>162.69</v>
    <v>163.68</v>
    <v>165.18</v>
    <v>162.62</v>
    <v>163</v>
    <v>163.69999999999999</v>
    <v>163.6</v>
    <v>165.03</v>
    <v>162.87</v>
    <v>162.13</v>
    <v>162.68</v>
    <v>162.31</v>
    <v>161.05000000000001</v>
    <v>161.65</v>
    <v>160.99</v>
    <v>160.78</v>
    <v>159.55000000000001</v>
    <v>159.34</v>
    <v>158.99</v>
    <v>158.47999999999999</v>
    <v>158.91</v>
    <v>156.87</v>
    <v>156.81</v>
    <v>156.66</v>
    <v>154.41</v>
    <v>154.35</v>
    <v>154.37</v>
    <v>155.06</v>
    <v>154.54</v>
    <v>156.97</v>
    <v>158.32</v>
    <v>158.18</v>
    <v>158.52000000000001</v>
    <v>160.26</v>
    <v>160.01</v>
    <v>159.9</v>
    <v>160.74</v>
    <v>161.56</v>
    <v>163.72999999999999</v>
    <v>164.23</v>
    <v>164.13</v>
    <v>163.88</v>
    <v>165.62</v>
    <v>165.48</v>
    <v>163.63</v>
    <v>163.29</v>
    <v>162.96</v>
    <v>164.1</v>
    <v>165.52</v>
    <v>163.35</v>
    <v>162.81</v>
    <v>161.6</v>
    <v>159.25</v>
    <v>159.51</v>
    <v>158.63</v>
    <v>158.08000000000001</v>
    <v>158.81</v>
    <v>159.87</v>
    <v>159.07</v>
    <v>159.06</v>
    <v>158.74</v>
    <v>168.38</v>
    <v>170.19</v>
    <v>171.08</v>
    <v>172.39</v>
    <v>172.72</v>
    <v>173.69</v>
    <v>174.48</v>
    <v>167.53</v>
    <v>168.89</v>
    <v>169.91</v>
    <v>170.64</v>
    <v>169.04</v>
    <v>173.1</v>
    <v>173.18</v>
    <v>173.07</v>
    <v>172.17</v>
    <v>173.85</v>
    <v>173.44</v>
    <v>172.94</v>
    <v>172.39</v>
    <v>174.01</v>
    <v>172.49</v>
    <v>167.35</v>
    <v>166.02</v>
    <v>164.53</v>
    <v>165.09</v>
    <v>166.25</v>
    <v>164.29</v>
    <v>164.31</v>
    <v>163.72999999999999</v>
    <v>161.68</v>
    <v>160.47999999999999</v>
    <v>160.68</v>
    <v>158.01</v>
    <v>160.03</v>
    <v>160.56</v>
    <v>162.66</v>
    <v>163.58000000000001</v>
    <v>163.99</v>
    <v>163.74</v>
    <v>161.44999999999999</v>
    <v>162.47</v>
    <v>162.19999999999999</v>
    <v>162.91</v>
    <v>161.66</v>
    <v>160.5</v>
    <v>160.26</v>
    <v>159.02000000000001</v>
    <v>157.11000000000001</v>
    <v>156.88</v>
    <v>155.75</v>
    <v>155.15</v>
    <v>155.34</v>
  </a>
  <a r="1" c="189">
    <v>108.1</v>
    <v>113.64</v>
    <v>110.34</v>
    <v>113.06</v>
    <v>119.77</v>
    <v>118.85</v>
    <v>123.22</v>
    <v>123.56</v>
    <v>122.4</v>
    <v>131.49</v>
    <v>128.78</v>
    <v>127.17</v>
    <v>133.41999999999999</v>
    <v>143.75</v>
    <v>143.88999999999999</v>
    <v>144.43</v>
    <v>160.27000000000001</v>
    <v>177.9</v>
    <v>166.66</v>
    <v>173.22</v>
    <v>181.41</v>
    <v>188.27</v>
    <v>189.98</v>
    <v>194.76</v>
    <v>196.81</v>
    <v>201.29</v>
    <v>207.32</v>
    <v>196.89</v>
    <v>194.64</v>
    <v>209.25</v>
    <v>214.24</v>
    <v>202.04</v>
    <v>208.31</v>
    <v>197.37</v>
    <v>200.86</v>
    <v>202.07</v>
    <v>196.88</v>
    <v>207.63</v>
    <v>205.71</v>
    <v>202.77</v>
    <v>190.9</v>
    <v>197.79</v>
    <v>193.81</v>
    <v>187.71</v>
    <v>182</v>
    <v>172.92</v>
    <v>173.44</v>
    <v>174.48</v>
    <v>183.26</v>
    <v>180.45</v>
    <v>184.13</v>
    <v>180.13</v>
    <v>183.25</v>
    <v>197.58</v>
    <v>191.15</v>
    <v>192.22</v>
    <v>190.41</v>
    <v>191.81</v>
    <v>189.19</v>
    <v>193.88</v>
    <v>195.28</v>
    <v>207.46</v>
    <v>194.77</v>
    <v>192.58</v>
    <v>185.52</v>
    <v>185.06</v>
    <v>184.51</v>
    <v>186.79</v>
    <v>180.54</v>
    <v>185.9</v>
    <v>185</v>
    <v>187.04</v>
    <v>184.31</v>
    <v>180.59</v>
    <v>162.99</v>
    <v>165.08</v>
    <v>162.55000000000001</v>
    <v>160.66999999999999</v>
    <v>153.75</v>
    <v>160.19</v>
    <v>164.31</v>
    <v>161.83000000000001</v>
    <v>160.31</v>
    <v>160.61000000000001</v>
    <v>161.19999999999999</v>
    <v>170.06</v>
    <v>171.79</v>
    <v>169.15</v>
    <v>168.54</v>
    <v>172.08</v>
    <v>167.98</v>
    <v>166.35</v>
    <v>166.52</v>
    <v>173.86</v>
    <v>176.89</v>
    <v>180.14</v>
    <v>188.87</v>
    <v>185.77</v>
    <v>182.9</v>
    <v>184.47</v>
    <v>193.17</v>
    <v>201.16</v>
    <v>203.93</v>
    <v>207.52</v>
    <v>213.97</v>
    <v>217.61</v>
    <v>221.31</v>
    <v>224.57</v>
    <v>234.86</v>
    <v>244.4</v>
    <v>249.83</v>
    <v>258.70999999999998</v>
    <v>256.79000000000002</v>
    <v>255.9</v>
    <v>260.54000000000002</v>
    <v>274.45</v>
    <v>259.45999999999998</v>
    <v>264.61</v>
    <v>256.60000000000002</v>
    <v>241.05</v>
    <v>250.21</v>
    <v>256.24</v>
    <v>257.5</v>
    <v>261.77</v>
    <v>279.82</v>
    <v>282.48</v>
    <v>276.54000000000002</v>
    <v>274.43</v>
    <v>269.61</v>
    <v>269.79000000000002</v>
    <v>271.99</v>
    <v>277.89999999999998</v>
    <v>281.38</v>
    <v>290.38</v>
    <v>293.33999999999997</v>
    <v>291.26</v>
    <v>262.89999999999998</v>
    <v>260.02</v>
    <v>269.06</v>
    <v>265.27999999999997</v>
    <v>264.35000000000002</v>
    <v>255.71</v>
    <v>266.44</v>
    <v>267.43</v>
    <v>261.07</v>
    <v>254.11</v>
    <v>259.32</v>
    <v>253.86</v>
    <v>251.45</v>
    <v>249.7</v>
    <v>242.19</v>
    <v>245.34</v>
    <v>242.65</v>
    <v>239.76</v>
    <v>232.96</v>
    <v>225.6</v>
    <v>219.22</v>
    <v>215.49</v>
    <v>231.28</v>
    <v>233.19</v>
    <v>236.86</v>
    <v>230.04</v>
    <v>238.59</v>
    <v>238.82</v>
    <v>257.18</v>
    <v>256.89999999999998</v>
    <v>258.08</v>
    <v>245.01</v>
    <v>256.49</v>
    <v>251.92</v>
    <v>251.49</v>
    <v>248.5</v>
    <v>273.58</v>
    <v>267.48</v>
    <v>271.3</v>
    <v>276.04000000000002</v>
    <v>274.39</v>
    <v>265.27999999999997</v>
    <v>266.5</v>
    <v>262.58999999999997</v>
    <v>255.7</v>
    <v>244.88</v>
    <v>246.99</v>
    <v>244.12</v>
    <v>240.5</v>
    <v>246.38</v>
    <v>250.22</v>
    <v>251.6</v>
    <v>246.53</v>
  </a>
</arrayData>
</file>

<file path=xl/richData/rdrichvalue.xml><?xml version="1.0" encoding="utf-8"?>
<rvData xmlns="http://schemas.microsoft.com/office/spreadsheetml/2017/richdata" count="2265">
  <rv s="0">
    <fb>44929</fb>
    <v>0</v>
  </rv>
  <rv s="0">
    <fb>125.07</fb>
    <v>1</v>
  </rv>
  <rv s="0">
    <fb>239.58</fb>
    <v>1</v>
  </rv>
  <rv s="0">
    <fb>89.12</fb>
    <v>1</v>
  </rv>
  <rv s="0">
    <fb>124.74</fb>
    <v>1</v>
  </rv>
  <rv s="0">
    <fb>14.315</fb>
    <v>1</v>
  </rv>
  <rv s="0">
    <fb>135.12</fb>
    <v>1</v>
  </rv>
  <rv s="0">
    <fb>207.39</fb>
    <v>1</v>
  </rv>
  <rv s="0">
    <fb>178.19</fb>
    <v>1</v>
  </rv>
  <rv s="0">
    <fb>108.1</fb>
    <v>1</v>
  </rv>
  <rv s="0">
    <fb>85.82</fb>
    <v>1</v>
  </rv>
  <rv s="0">
    <fb>44930</fb>
    <v>0</v>
  </rv>
  <rv s="0">
    <fb>126.36</fb>
    <v>1</v>
  </rv>
  <rv s="0">
    <fb>229.1</fb>
    <v>1</v>
  </rv>
  <rv s="0">
    <fb>88.08</fb>
    <v>1</v>
  </rv>
  <rv s="0">
    <fb>127.37</fb>
    <v>1</v>
  </rv>
  <rv s="0">
    <fb>14.749000000000001</fb>
    <v>1</v>
  </rv>
  <rv s="0">
    <fb>136.38</fb>
    <v>1</v>
  </rv>
  <rv s="0">
    <fb>212.61</fb>
    <v>1</v>
  </rv>
  <rv s="0">
    <fb>180.13</fb>
    <v>1</v>
  </rv>
  <rv s="0">
    <fb>113.64</fb>
    <v>1</v>
  </rv>
  <rv s="0">
    <fb>85.14</fb>
    <v>1</v>
  </rv>
  <rv s="0">
    <fb>44931</fb>
    <v>0</v>
  </rv>
  <rv s="0">
    <fb>125.02</fb>
    <v>1</v>
  </rv>
  <rv s="0">
    <fb>222.31</fb>
    <v>1</v>
  </rv>
  <rv s="0">
    <fb>86.2</fb>
    <v>1</v>
  </rv>
  <rv s="0">
    <fb>126.94</fb>
    <v>1</v>
  </rv>
  <rv s="0">
    <fb>14.265000000000001</fb>
    <v>1</v>
  </rv>
  <rv s="0">
    <fb>135.35</fb>
    <v>1</v>
  </rv>
  <rv s="0">
    <fb>211.11</fb>
    <v>1</v>
  </rv>
  <rv s="0">
    <fb>178.8</fb>
    <v>1</v>
  </rv>
  <rv s="0">
    <fb>110.34</fb>
    <v>1</v>
  </rv>
  <rv s="0">
    <fb>83.12</fb>
    <v>1</v>
  </rv>
  <rv s="0">
    <fb>44932</fb>
    <v>0</v>
  </rv>
  <rv s="0">
    <fb>129.62</fb>
    <v>1</v>
  </rv>
  <rv s="0">
    <fb>224.93</fb>
    <v>1</v>
  </rv>
  <rv s="0">
    <fb>87.34</fb>
    <v>1</v>
  </rv>
  <rv s="0">
    <fb>130.02000000000001</fb>
    <v>1</v>
  </rv>
  <rv s="0">
    <fb>14.859</fb>
    <v>1</v>
  </rv>
  <rv s="0">
    <fb>137.94</fb>
    <v>1</v>
  </rv>
  <rv s="0">
    <fb>217.75</fb>
    <v>1</v>
  </rv>
  <rv s="0">
    <fb>180.25</fb>
    <v>1</v>
  </rv>
  <rv s="0">
    <fb>113.06</fb>
    <v>1</v>
  </rv>
  <rv s="0">
    <fb>86.08</fb>
    <v>1</v>
  </rv>
  <rv s="0">
    <fb>44935</fb>
    <v>0</v>
  </rv>
  <rv s="0">
    <fb>130.15</fb>
    <v>1</v>
  </rv>
  <rv s="0">
    <fb>227.12</fb>
    <v>1</v>
  </rv>
  <rv s="0">
    <fb>88.02</fb>
    <v>1</v>
  </rv>
  <rv s="0">
    <fb>129.47</fb>
    <v>1</v>
  </rv>
  <rv s="0">
    <fb>15.628</fb>
    <v>1</v>
  </rv>
  <rv s="0">
    <fb>137.37</fb>
    <v>1</v>
  </rv>
  <rv s="0">
    <fb>218.6</fb>
    <v>1</v>
  </rv>
  <rv s="0">
    <fb>175.58</fb>
    <v>1</v>
  </rv>
  <rv s="0">
    <fb>119.77</fb>
    <v>1</v>
  </rv>
  <rv s="0">
    <fb>87.36</fb>
    <v>1</v>
  </rv>
  <rv s="0">
    <fb>44936</fb>
    <v>0</v>
  </rv>
  <rv s="0">
    <fb>130.72999999999999</fb>
    <v>1</v>
  </rv>
  <rv s="0">
    <fb>228.85</fb>
    <v>1</v>
  </rv>
  <rv s="0">
    <fb>88.42</fb>
    <v>1</v>
  </rv>
  <rv s="0">
    <fb>132.99</fb>
    <v>1</v>
  </rv>
  <rv s="0">
    <fb>15.909000000000001</fb>
    <v>1</v>
  </rv>
  <rv s="0">
    <fb>138.6</fb>
    <v>1</v>
  </rv>
  <rv s="0">
    <fb>221.09</fb>
    <v>1</v>
  </rv>
  <rv s="0">
    <fb>175.16</fb>
    <v>1</v>
  </rv>
  <rv s="0">
    <fb>118.85</fb>
    <v>1</v>
  </rv>
  <rv s="0">
    <fb>89.87</fb>
    <v>1</v>
  </rv>
  <rv s="0">
    <fb>44937</fb>
    <v>0</v>
  </rv>
  <rv s="0">
    <fb>133.49</fb>
    <v>1</v>
  </rv>
  <rv s="0">
    <fb>235.77</fb>
    <v>1</v>
  </rv>
  <rv s="0">
    <fb>91.52</fb>
    <v>1</v>
  </rv>
  <rv s="0">
    <fb>132.88999999999999</fb>
    <v>1</v>
  </rv>
  <rv s="0">
    <fb>16.001000000000001</fb>
    <v>1</v>
  </rv>
  <rv s="0">
    <fb>139.63</fb>
    <v>1</v>
  </rv>
  <rv s="0">
    <fb>222.1</fb>
    <v>1</v>
  </rv>
  <rv s="0">
    <fb>174.88</fb>
    <v>1</v>
  </rv>
  <rv s="0">
    <fb>123.22</fb>
    <v>1</v>
  </rv>
  <rv s="0">
    <fb>95.09</fb>
    <v>1</v>
  </rv>
  <rv s="0">
    <fb>44938</fb>
    <v>0</v>
  </rv>
  <rv s="0">
    <fb>133.41</fb>
    <v>1</v>
  </rv>
  <rv s="0">
    <fb>238.51</fb>
    <v>1</v>
  </rv>
  <rv s="0">
    <fb>91.13</fb>
    <v>1</v>
  </rv>
  <rv s="0">
    <fb>136.71</fb>
    <v>1</v>
  </rv>
  <rv s="0">
    <fb>16.510999999999999</fb>
    <v>1</v>
  </rv>
  <rv s="0">
    <fb>139.49</fb>
    <v>1</v>
  </rv>
  <rv s="0">
    <fb>223.62</fb>
    <v>1</v>
  </rv>
  <rv s="0">
    <fb>174</fb>
    <v>1</v>
  </rv>
  <rv s="0">
    <fb>123.56</fb>
    <v>1</v>
  </rv>
  <rv s="0">
    <fb>95.27</fb>
    <v>1</v>
  </rv>
  <rv s="0">
    <fb>44939</fb>
    <v>0</v>
  </rv>
  <rv s="0">
    <fb>134.76</fb>
    <v>1</v>
  </rv>
  <rv s="0">
    <fb>239.23</fb>
    <v>1</v>
  </rv>
  <rv s="0">
    <fb>92.12</fb>
    <v>1</v>
  </rv>
  <rv s="0">
    <fb>136.97999999999999</fb>
    <v>1</v>
  </rv>
  <rv s="0">
    <fb>16.899000000000001</fb>
    <v>1</v>
  </rv>
  <rv s="0">
    <fb>143.01</fb>
    <v>1</v>
  </rv>
  <rv s="0">
    <fb>223.06</fb>
    <v>1</v>
  </rv>
  <rv s="0">
    <fb>173.43</fb>
    <v>1</v>
  </rv>
  <rv s="0">
    <fb>122.4</fb>
    <v>1</v>
  </rv>
  <rv s="0">
    <fb>98.12</fb>
    <v>1</v>
  </rv>
  <rv s="0">
    <fb>44943</fb>
    <v>0</v>
  </rv>
  <rv s="0">
    <fb>135.94</fb>
    <v>1</v>
  </rv>
  <rv s="0">
    <fb>240.35</fb>
    <v>1</v>
  </rv>
  <rv s="0">
    <fb>91.29</fb>
    <v>1</v>
  </rv>
  <rv s="0">
    <fb>135.36000000000001</fb>
    <v>1</v>
  </rv>
  <rv s="0">
    <fb>17.702000000000002</fb>
    <v>1</v>
  </rv>
  <rv s="0">
    <fb>140.80000000000001</fb>
    <v>1</v>
  </rv>
  <rv s="0">
    <fb>223</fb>
    <v>1</v>
  </rv>
  <rv s="0">
    <fb>172.36</fb>
    <v>1</v>
  </rv>
  <rv s="0">
    <fb>131.49</fb>
    <v>1</v>
  </rv>
  <rv s="0">
    <fb>96.05</fb>
    <v>1</v>
  </rv>
  <rv s="0">
    <fb>44944</fb>
    <v>0</v>
  </rv>
  <rv s="0">
    <fb>135.21</fb>
    <v>1</v>
  </rv>
  <rv s="0">
    <fb>235.81</fb>
    <v>1</v>
  </rv>
  <rv s="0">
    <fb>91.12</fb>
    <v>1</v>
  </rv>
  <rv s="0">
    <fb>133.02000000000001</fb>
    <v>1</v>
  </rv>
  <rv s="0">
    <fb>17.376999999999999</fb>
    <v>1</v>
  </rv>
  <rv s="0">
    <fb>136.57</fb>
    <v>1</v>
  </rv>
  <rv s="0">
    <fb>219.46</fb>
    <v>1</v>
  </rv>
  <rv s="0">
    <fb>169.76</fb>
    <v>1</v>
  </rv>
  <rv s="0">
    <fb>128.78</fb>
    <v>1</v>
  </rv>
  <rv s="0">
    <fb>95.46</fb>
    <v>1</v>
  </rv>
  <rv s="0">
    <fb>44945</fb>
    <v>0</v>
  </rv>
  <rv s="0">
    <fb>135.27000000000001</fb>
    <v>1</v>
  </rv>
  <rv s="0">
    <fb>231.93</fb>
    <v>1</v>
  </rv>
  <rv s="0">
    <fb>93.05</fb>
    <v>1</v>
  </rv>
  <rv s="0">
    <fb>136.15</fb>
    <v>1</v>
  </rv>
  <rv s="0">
    <fb>16.765000000000001</fb>
    <v>1</v>
  </rv>
  <rv s="0">
    <fb>134.75</fb>
    <v>1</v>
  </rv>
  <rv s="0">
    <fb>220.41</fb>
    <v>1</v>
  </rv>
  <rv s="0">
    <fb>169.53</fb>
    <v>1</v>
  </rv>
  <rv s="0">
    <fb>127.17</fb>
    <v>1</v>
  </rv>
  <rv s="0">
    <fb>93.68</fb>
    <v>1</v>
  </rv>
  <rv s="0">
    <fb>44946</fb>
    <v>0</v>
  </rv>
  <rv s="0">
    <fb>137.87</fb>
    <v>1</v>
  </rv>
  <rv s="0">
    <fb>240.22</fb>
    <v>1</v>
  </rv>
  <rv s="0">
    <fb>98.02</fb>
    <v>1</v>
  </rv>
  <rv s="0">
    <fb>139.37</fb>
    <v>1</v>
  </rv>
  <rv s="0">
    <fb>17.838999999999999</fb>
    <v>1</v>
  </rv>
  <rv s="0">
    <fb>135.08000000000001</fb>
    <v>1</v>
  </rv>
  <rv s="0">
    <fb>224.31</fb>
    <v>1</v>
  </rv>
  <rv s="0">
    <fb>168.74</fb>
    <v>1</v>
  </rv>
  <rv s="0">
    <fb>133.41999999999999</fb>
    <v>1</v>
  </rv>
  <rv s="0">
    <fb>97.25</fb>
    <v>1</v>
  </rv>
  <rv s="0">
    <fb>44949</fb>
    <v>0</v>
  </rv>
  <rv s="0">
    <fb>141.11000000000001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137.27000000000001</fb>
    <v>1</v>
  </rv>
  <rv s="0">
    <fb>224.18</fb>
    <v>1</v>
  </rv>
  <rv s="0">
    <fb>168.31</fb>
    <v>1</v>
  </rv>
  <rv s="0">
    <fb>143.75</fb>
    <v>1</v>
  </rv>
  <rv s="0">
    <fb>97.52</fb>
    <v>1</v>
  </rv>
  <rv s="0">
    <fb>44950</fb>
    <v>0</v>
  </rv>
  <rv s="0">
    <fb>142.53</fb>
    <v>1</v>
  </rv>
  <rv s="0">
    <fb>242.04</fb>
    <v>1</v>
  </rv>
  <rv s="0">
    <fb>97.7</fb>
    <v>1</v>
  </rv>
  <rv s="0">
    <fb>143.13999999999999</fb>
    <v>1</v>
  </rv>
  <rv s="0">
    <fb>19.265000000000001</fb>
    <v>1</v>
  </rv>
  <rv s="0">
    <fb>138.44999999999999</fb>
    <v>1</v>
  </rv>
  <rv s="0">
    <fb>223.89</fb>
    <v>1</v>
  </rv>
  <rv s="0">
    <fb>143.88999999999999</fb>
    <v>1</v>
  </rv>
  <rv s="0">
    <fb>96.32</fb>
    <v>1</v>
  </rv>
  <rv s="0">
    <fb>44951</fb>
    <v>0</v>
  </rv>
  <rv s="0">
    <fb>141.86000000000001</fb>
    <v>1</v>
  </rv>
  <rv s="0">
    <fb>240.61</fb>
    <v>1</v>
  </rv>
  <rv s="0">
    <fb>95.22</fb>
    <v>1</v>
  </rv>
  <rv s="0">
    <fb>141.5</fb>
    <v>1</v>
  </rv>
  <rv s="0">
    <fb>19.323</fb>
    <v>1</v>
  </rv>
  <rv s="0">
    <fb>139.12</fb>
    <v>1</v>
  </rv>
  <rv s="0">
    <fb>224.9</fb>
    <v>1</v>
  </rv>
  <rv s="0">
    <fb>169.51</fb>
    <v>1</v>
  </rv>
  <rv s="0">
    <fb>144.43</fb>
    <v>1</v>
  </rv>
  <rv s="0">
    <fb>97.18</fb>
    <v>1</v>
  </rv>
  <rv s="0">
    <fb>44952</fb>
    <v>0</v>
  </rv>
  <rv s="0">
    <fb>143.96</fb>
    <v>1</v>
  </rv>
  <rv s="0">
    <fb>248</fb>
    <v>1</v>
  </rv>
  <rv s="0">
    <fb>147.30000000000001</fb>
    <v>1</v>
  </rv>
  <rv s="0">
    <fb>19.802</fb>
    <v>1</v>
  </rv>
  <rv s="0">
    <fb>139.97999999999999</fb>
    <v>1</v>
  </rv>
  <rv s="0">
    <fb>224.71</fb>
    <v>1</v>
  </rv>
  <rv s="0">
    <fb>168.89</fb>
    <v>1</v>
  </rv>
  <rv s="0">
    <fb>160.27000000000001</fb>
    <v>1</v>
  </rv>
  <rv s="0">
    <fb>99.22</fb>
    <v>1</v>
  </rv>
  <rv s="0">
    <fb>44953</fb>
    <v>0</v>
  </rv>
  <rv s="0">
    <fb>145.93</fb>
    <v>1</v>
  </rv>
  <rv s="0">
    <fb>248.16</fb>
    <v>1</v>
  </rv>
  <rv s="0">
    <fb>99.37</fb>
    <v>1</v>
  </rv>
  <rv s="0">
    <fb>151.74</fb>
    <v>1</v>
  </rv>
  <rv s="0">
    <fb>20.364999999999998</fb>
    <v>1</v>
  </rv>
  <rv s="0">
    <fb>140.32</fb>
    <v>1</v>
  </rv>
  <rv s="0">
    <fb>231.44</fb>
    <v>1</v>
  </rv>
  <rv s="0">
    <fb>168.23</fb>
    <v>1</v>
  </rv>
  <rv s="0">
    <fb>177.9</fb>
    <v>1</v>
  </rv>
  <rv s="0">
    <fb>102.24</fb>
    <v>1</v>
  </rv>
  <rv s="0">
    <fb>44956</fb>
    <v>0</v>
  </rv>
  <rv s="0">
    <fb>143</fb>
    <v>1</v>
  </rv>
  <rv s="0">
    <fb>242.71</fb>
    <v>1</v>
  </rv>
  <rv s="0">
    <fb>96.94</fb>
    <v>1</v>
  </rv>
  <rv s="0">
    <fb>147.06</fb>
    <v>1</v>
  </rv>
  <rv s="0">
    <fb>19.161999999999999</fb>
    <v>1</v>
  </rv>
  <rv s="0">
    <fb>139.13</fb>
    <v>1</v>
  </rv>
  <rv s="0">
    <fb>162</fb>
    <v>1</v>
  </rv>
  <rv s="0">
    <fb>166.66</fb>
    <v>1</v>
  </rv>
  <rv s="0">
    <fb>100.55</fb>
    <v>1</v>
  </rv>
  <rv s="0">
    <fb>44957</fb>
    <v>0</v>
  </rv>
  <rv s="0">
    <fb>144.29</fb>
    <v>1</v>
  </rv>
  <rv s="0">
    <fb>247.81</fb>
    <v>1</v>
  </rv>
  <rv s="0">
    <fb>98.84</fb>
    <v>1</v>
  </rv>
  <rv s="0">
    <fb>148.97</fb>
    <v>1</v>
  </rv>
  <rv s="0">
    <fb>19.536999999999999</fb>
    <v>1</v>
  </rv>
  <rv s="0">
    <fb>139.96</fb>
    <v>1</v>
  </rv>
  <rv s="0">
    <fb>230.21</fb>
    <v>1</v>
  </rv>
  <rv s="0">
    <fb>163.41999999999999</fb>
    <v>1</v>
  </rv>
  <rv s="0">
    <fb>173.22</fb>
    <v>1</v>
  </rv>
  <rv s="0">
    <fb>103.13</fb>
    <v>1</v>
  </rv>
  <rv s="0">
    <fb>44958</fb>
    <v>0</v>
  </rv>
  <rv s="0">
    <fb>145.43</fb>
    <v>1</v>
  </rv>
  <rv s="0">
    <fb>252.75</fb>
    <v>1</v>
  </rv>
  <rv s="0">
    <fb>100.43</fb>
    <v>1</v>
  </rv>
  <rv s="0">
    <fb>153.12</fb>
    <v>1</v>
  </rv>
  <rv s="0">
    <fb>20.943000000000001</fb>
    <v>1</v>
  </rv>
  <rv s="0">
    <fb>139.59</fb>
    <v>1</v>
  </rv>
  <rv s="0">
    <fb>230.9</fb>
    <v>1</v>
  </rv>
  <rv s="0">
    <fb>164.92</fb>
    <v>1</v>
  </rv>
  <rv s="0">
    <fb>181.41</fb>
    <v>1</v>
  </rv>
  <rv s="0">
    <fb>105.15</fb>
    <v>1</v>
  </rv>
  <rv s="0">
    <fb>44959</fb>
    <v>0</v>
  </rv>
  <rv s="0">
    <fb>150.82</fb>
    <v>1</v>
  </rv>
  <rv s="0">
    <fb>264.60000000000002</fb>
    <v>1</v>
  </rv>
  <rv s="0">
    <fb>107.74</fb>
    <v>1</v>
  </rv>
  <rv s="0">
    <fb>188.77</fb>
    <v>1</v>
  </rv>
  <rv s="0">
    <fb>21.709</fb>
    <v>1</v>
  </rv>
  <rv s="0">
    <fb>138.94</fb>
    <v>1</v>
  </rv>
  <rv s="0">
    <fb>229.56</fb>
    <v>1</v>
  </rv>
  <rv s="0">
    <fb>165.54</fb>
    <v>1</v>
  </rv>
  <rv s="0">
    <fb>188.27</fb>
    <v>1</v>
  </rv>
  <rv s="0">
    <fb>112.91</fb>
    <v>1</v>
  </rv>
  <rv s="0">
    <fb>44960</fb>
    <v>0</v>
  </rv>
  <rv s="0">
    <fb>154.5</fb>
    <v>1</v>
  </rv>
  <rv s="0">
    <fb>258.35000000000002</fb>
    <v>1</v>
  </rv>
  <rv s="0">
    <fb>104.78</fb>
    <v>1</v>
  </rv>
  <rv s="0">
    <fb>186.53</fb>
    <v>1</v>
  </rv>
  <rv s="0">
    <fb>21.1</fb>
    <v>1</v>
  </rv>
  <rv s="0">
    <fb>141.09</fb>
    <v>1</v>
  </rv>
  <rv s="0">
    <fb>230.13</fb>
    <v>1</v>
  </rv>
  <rv s="0">
    <fb>164.61</fb>
    <v>1</v>
  </rv>
  <rv s="0">
    <fb>189.98</fb>
    <v>1</v>
  </rv>
  <rv s="0">
    <fb>103.39</fb>
    <v>1</v>
  </rv>
  <rv s="0">
    <fb>44963</fb>
    <v>0</v>
  </rv>
  <rv s="0">
    <fb>151.72999999999999</fb>
    <v>1</v>
  </rv>
  <rv s="0">
    <fb>256.77</fb>
    <v>1</v>
  </rv>
  <rv s="0">
    <fb>102.9</fb>
    <v>1</v>
  </rv>
  <rv s="0">
    <fb>186.06</fb>
    <v>1</v>
  </rv>
  <rv s="0">
    <fb>21.088999999999999</fb>
    <v>1</v>
  </rv>
  <rv s="0">
    <fb>141.91999999999999</fb>
    <v>1</v>
  </rv>
  <rv s="0">
    <fb>229.44</fb>
    <v>1</v>
  </rv>
  <rv s="0">
    <fb>163.36000000000001</fb>
    <v>1</v>
  </rv>
  <rv s="0">
    <fb>194.76</fb>
    <v>1</v>
  </rv>
  <rv s="0">
    <fb>102.18</fb>
    <v>1</v>
  </rv>
  <rv s="0">
    <fb>44964</fb>
    <v>0</v>
  </rv>
  <rv s="0">
    <fb>154.65</fb>
    <v>1</v>
  </rv>
  <rv s="0">
    <fb>267.56</fb>
    <v>1</v>
  </rv>
  <rv s="0">
    <fb>107.64</fb>
    <v>1</v>
  </rv>
  <rv s="0">
    <fb>191.62</fb>
    <v>1</v>
  </rv>
  <rv s="0">
    <fb>22.172999999999998</fb>
    <v>1</v>
  </rv>
  <rv s="0">
    <fb>143.65</fb>
    <v>1</v>
  </rv>
  <rv s="0">
    <fb>231.32</fb>
    <v>1</v>
  </rv>
  <rv s="0">
    <fb>163.4</fb>
    <v>1</v>
  </rv>
  <rv s="0">
    <fb>196.81</fb>
    <v>1</v>
  </rv>
  <rv s="0">
    <fb>102.11</fb>
    <v>1</v>
  </rv>
  <rv s="0">
    <fb>44965</fb>
    <v>0</v>
  </rv>
  <rv s="0">
    <fb>151.91999999999999</fb>
    <v>1</v>
  </rv>
  <rv s="0">
    <fb>266.73</fb>
    <v>1</v>
  </rv>
  <rv s="0">
    <fb>183.43</fb>
    <v>1</v>
  </rv>
  <rv s="0">
    <fb>22.204999999999998</fb>
    <v>1</v>
  </rv>
  <rv s="0">
    <fb>142.63999999999999</fb>
    <v>1</v>
  </rv>
  <rv s="0">
    <fb>230.2</fb>
    <v>1</v>
  </rv>
  <rv s="0">
    <fb>163.61000000000001</fb>
    <v>1</v>
  </rv>
  <rv s="0">
    <fb>201.29</fb>
    <v>1</v>
  </rv>
  <rv s="0">
    <fb>100.05</fb>
    <v>1</v>
  </rv>
  <rv s="0">
    <fb>44966</fb>
    <v>0</v>
  </rv>
  <rv s="0">
    <fb>150.87</fb>
    <v>1</v>
  </rv>
  <rv s="0">
    <fb>263.62</fb>
    <v>1</v>
  </rv>
  <rv s="0">
    <fb>95.01</fb>
    <v>1</v>
  </rv>
  <rv s="0">
    <fb>177.92</fb>
    <v>1</v>
  </rv>
  <rv s="0">
    <fb>22.337</fb>
    <v>1</v>
  </rv>
  <rv s="0">
    <fb>140.41999999999999</fb>
    <v>1</v>
  </rv>
  <rv s="0">
    <fb>229.35</fb>
    <v>1</v>
  </rv>
  <rv s="0">
    <fb>161.4</fb>
    <v>1</v>
  </rv>
  <rv s="0">
    <fb>207.32</fb>
    <v>1</v>
  </rv>
  <rv s="0">
    <fb>98.24</fb>
    <v>1</v>
  </rv>
  <rv s="0">
    <fb>44967</fb>
    <v>0</v>
  </rv>
  <rv s="0">
    <fb>151.01</fb>
    <v>1</v>
  </rv>
  <rv s="0">
    <fb>263.10000000000002</fb>
    <v>1</v>
  </rv>
  <rv s="0">
    <fb>94.57</fb>
    <v>1</v>
  </rv>
  <rv s="0">
    <fb>174.15</fb>
    <v>1</v>
  </rv>
  <rv s="0">
    <fb>21.265000000000001</fb>
    <v>1</v>
  </rv>
  <rv s="0">
    <fb>141.04</fb>
    <v>1</v>
  </rv>
  <rv s="0">
    <fb>227.2</fb>
    <v>1</v>
  </rv>
  <rv s="0">
    <fb>162.15</fb>
    <v>1</v>
  </rv>
  <rv s="0">
    <fb>196.89</fb>
    <v>1</v>
  </rv>
  <rv s="0">
    <fb>97.61</fb>
    <v>1</v>
  </rv>
  <rv s="0">
    <fb>44970</fb>
    <v>0</v>
  </rv>
  <rv s="0">
    <fb>153.85</fb>
    <v>1</v>
  </rv>
  <rv s="0">
    <fb>271.32</fb>
    <v>1</v>
  </rv>
  <rv s="0">
    <fb>94.61</fb>
    <v>1</v>
  </rv>
  <rv s="0">
    <fb>179.43</fb>
    <v>1</v>
  </rv>
  <rv s="0">
    <fb>21.788</fb>
    <v>1</v>
  </rv>
  <rv s="0">
    <fb>142.57</fb>
    <v>1</v>
  </rv>
  <rv s="0">
    <fb>228.88</fb>
    <v>1</v>
  </rv>
  <rv s="0">
    <fb>162.75</fb>
    <v>1</v>
  </rv>
  <rv s="0">
    <fb>194.64</fb>
    <v>1</v>
  </rv>
  <rv s="0">
    <fb>99.54</fb>
    <v>1</v>
  </rv>
  <rv s="0">
    <fb>44971</fb>
    <v>0</v>
  </rv>
  <rv s="0">
    <fb>153.19999999999999</fb>
    <v>1</v>
  </rv>
  <rv s="0">
    <fb>272.17</fb>
    <v>1</v>
  </rv>
  <rv s="0">
    <fb>94.68</fb>
    <v>1</v>
  </rv>
  <rv s="0">
    <fb>179.48</fb>
    <v>1</v>
  </rv>
  <rv s="0">
    <fb>22.971</fb>
    <v>1</v>
  </rv>
  <rv s="0">
    <fb>143.19999999999999</fb>
    <v>1</v>
  </rv>
  <rv s="0">
    <fb>229.39</fb>
    <v>1</v>
  </rv>
  <rv s="0">
    <fb>162.04</fb>
    <v>1</v>
  </rv>
  <rv s="0">
    <fb>209.25</fb>
    <v>1</v>
  </rv>
  <rv s="0">
    <fb>99.7</fb>
    <v>1</v>
  </rv>
  <rv s="0">
    <fb>44972</fb>
    <v>0</v>
  </rv>
  <rv s="0">
    <fb>155.33000000000001</fb>
    <v>1</v>
  </rv>
  <rv s="0">
    <fb>269.32</fb>
    <v>1</v>
  </rv>
  <rv s="0">
    <fb>177.16</fb>
    <v>1</v>
  </rv>
  <rv s="0">
    <fb>22.763999999999999</fb>
    <v>1</v>
  </rv>
  <rv s="0">
    <fb>143.80000000000001</fb>
    <v>1</v>
  </rv>
  <rv s="0">
    <fb>228.92</fb>
    <v>1</v>
  </rv>
  <rv s="0">
    <fb>159.37</fb>
    <v>1</v>
  </rv>
  <rv s="0">
    <fb>214.24</fb>
    <v>1</v>
  </rv>
  <rv s="0">
    <fb>101.16</fb>
    <v>1</v>
  </rv>
  <rv s="0">
    <fb>44973</fb>
    <v>0</v>
  </rv>
  <rv s="0">
    <fb>153.71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141.82</fb>
    <v>1</v>
  </rv>
  <rv s="0">
    <fb>225.83</fb>
    <v>1</v>
  </rv>
  <rv s="0">
    <fb>158.24</fb>
    <v>1</v>
  </rv>
  <rv s="0">
    <fb>202.04</fb>
    <v>1</v>
  </rv>
  <rv s="0">
    <fb>98.15</fb>
    <v>1</v>
  </rv>
  <rv s="0">
    <fb>44974</fb>
    <v>0</v>
  </rv>
  <rv s="0">
    <fb>152.55000000000001</fb>
    <v>1</v>
  </rv>
  <rv s="0">
    <fb>258.06</fb>
    <v>1</v>
  </rv>
  <rv s="0">
    <fb>94.35</fb>
    <v>1</v>
  </rv>
  <rv s="0">
    <fb>172.88</fb>
    <v>1</v>
  </rv>
  <rv s="0">
    <fb>21.388000000000002</fb>
    <v>1</v>
  </rv>
  <rv s="0">
    <fb>142.24</fb>
    <v>1</v>
  </rv>
  <rv s="0">
    <fb>223.56</fb>
    <v>1</v>
  </rv>
  <rv s="0">
    <fb>160.38999999999999</fb>
    <v>1</v>
  </rv>
  <rv s="0">
    <fb>208.31</fb>
    <v>1</v>
  </rv>
  <rv s="0">
    <fb>97.2</fb>
    <v>1</v>
  </rv>
  <rv s="0">
    <fb>44978</fb>
    <v>0</v>
  </rv>
  <rv s="0">
    <fb>148.47999999999999</fb>
    <v>1</v>
  </rv>
  <rv s="0">
    <fb>252.67</fb>
    <v>1</v>
  </rv>
  <rv s="0">
    <fb>91.79</fb>
    <v>1</v>
  </rv>
  <rv s="0">
    <fb>172.08</fb>
    <v>1</v>
  </rv>
  <rv s="0">
    <fb>20.655000000000001</fb>
    <v>1</v>
  </rv>
  <rv s="0">
    <fb>220.62</fb>
    <v>1</v>
  </rv>
  <rv s="0">
    <fb>158</fb>
    <v>1</v>
  </rv>
  <rv s="0">
    <fb>197.37</fb>
    <v>1</v>
  </rv>
  <rv s="0">
    <fb>94.58</fb>
    <v>1</v>
  </rv>
  <rv s="0">
    <fb>44979</fb>
    <v>0</v>
  </rv>
  <rv s="0">
    <fb>148.91</fb>
    <v>1</v>
  </rv>
  <rv s="0">
    <fb>251.51</fb>
    <v>1</v>
  </rv>
  <rv s="0">
    <fb>91.65</fb>
    <v>1</v>
  </rv>
  <rv s="0">
    <fb>171.12</fb>
    <v>1</v>
  </rv>
  <rv s="0">
    <fb>20.754000000000001</fb>
    <v>1</v>
  </rv>
  <rv s="0">
    <fb>138.56</fb>
    <v>1</v>
  </rv>
  <rv s="0">
    <fb>220.02</fb>
    <v>1</v>
  </rv>
  <rv s="0">
    <fb>157.78</fb>
    <v>1</v>
  </rv>
  <rv s="0">
    <fb>200.86</fb>
    <v>1</v>
  </rv>
  <rv s="0">
    <fb>95.79</fb>
    <v>1</v>
  </rv>
  <rv s="0">
    <fb>44980</fb>
    <v>0</v>
  </rv>
  <rv s="0">
    <fb>149.4</fb>
    <v>1</v>
  </rv>
  <rv s="0">
    <fb>254.77</fb>
    <v>1</v>
  </rv>
  <rv s="0">
    <fb>90.89</fb>
    <v>1</v>
  </rv>
  <rv s="0">
    <fb>172.04</fb>
    <v>1</v>
  </rv>
  <rv s="0">
    <fb>23.664000000000001</fb>
    <v>1</v>
  </rv>
  <rv s="0">
    <fb>139.66999999999999</fb>
    <v>1</v>
  </rv>
  <rv s="0">
    <fb>221.13</fb>
    <v>1</v>
  </rv>
  <rv s="0">
    <fb>157.72999999999999</fb>
    <v>1</v>
  </rv>
  <rv s="0">
    <fb>202.07</fb>
    <v>1</v>
  </rv>
  <rv s="0">
    <fb>95.82</fb>
    <v>1</v>
  </rv>
  <rv s="0">
    <fb>44981</fb>
    <v>0</v>
  </rv>
  <rv s="0">
    <fb>146.71</fb>
    <v>1</v>
  </rv>
  <rv s="0">
    <fb>249.22</fb>
    <v>1</v>
  </rv>
  <rv s="0">
    <fb>89.13</fb>
    <v>1</v>
  </rv>
  <rv s="0">
    <fb>170.39</fb>
    <v>1</v>
  </rv>
  <rv s="0">
    <fb>23.286000000000001</fb>
    <v>1</v>
  </rv>
  <rv s="0">
    <fb>140.93</fb>
    <v>1</v>
  </rv>
  <rv s="0">
    <fb>219.55</fb>
    <v>1</v>
  </rv>
  <rv s="0">
    <fb>155.97</fb>
    <v>1</v>
  </rv>
  <rv s="0">
    <fb>196.88</fb>
    <v>1</v>
  </rv>
  <rv s="0">
    <fb>93.5</fb>
    <v>1</v>
  </rv>
  <rv s="0">
    <fb>44984</fb>
    <v>0</v>
  </rv>
  <rv s="0">
    <fb>147.91999999999999</fb>
    <v>1</v>
  </rv>
  <rv s="0">
    <fb>250.16</fb>
    <v>1</v>
  </rv>
  <rv s="0">
    <fb>169.54</fb>
    <v>1</v>
  </rv>
  <rv s="0">
    <fb>23.501000000000001</fb>
    <v>1</v>
  </rv>
  <rv s="0">
    <fb>142.16</fb>
    <v>1</v>
  </rv>
  <rv s="0">
    <fb>220.35</fb>
    <v>1</v>
  </rv>
  <rv s="0">
    <fb>155.63</fb>
    <v>1</v>
  </rv>
  <rv s="0">
    <fb>207.63</fb>
    <v>1</v>
  </rv>
  <rv s="0">
    <fb>93.76</fb>
    <v>1</v>
  </rv>
  <rv s="0">
    <fb>44985</fb>
    <v>0</v>
  </rv>
  <rv s="0">
    <fb>147.41</fb>
    <v>1</v>
  </rv>
  <rv s="0">
    <fb>249.42</fb>
    <v>1</v>
  </rv>
  <rv s="0">
    <fb>90.06</fb>
    <v>1</v>
  </rv>
  <rv s="0">
    <fb>174.94</fb>
    <v>1</v>
  </rv>
  <rv s="0">
    <fb>23.216000000000001</fb>
    <v>1</v>
  </rv>
  <rv s="0">
    <fb>143.35</fb>
    <v>1</v>
  </rv>
  <rv s="0">
    <fb>219.94</fb>
    <v>1</v>
  </rv>
  <rv s="0">
    <fb>153.26</fb>
    <v>1</v>
  </rv>
  <rv s="0">
    <fb>205.71</fb>
    <v>1</v>
  </rv>
  <rv s="0">
    <fb>94.23</fb>
    <v>1</v>
  </rv>
  <rv s="0">
    <fb>44986</fb>
    <v>0</v>
  </rv>
  <rv s="0">
    <fb>145.31</fb>
    <v>1</v>
  </rv>
  <rv s="0">
    <fb>246.27</fb>
    <v>1</v>
  </rv>
  <rv s="0">
    <fb>90.36</fb>
    <v>1</v>
  </rv>
  <rv s="0">
    <fb>173.42</fb>
    <v>1</v>
  </rv>
  <rv s="0">
    <fb>22.698</fb>
    <v>1</v>
  </rv>
  <rv s="0">
    <fb>142.55000000000001</fb>
    <v>1</v>
  </rv>
  <rv s="0">
    <fb>218.36</fb>
    <v>1</v>
  </rv>
  <rv s="0">
    <fb>152.57</fb>
    <v>1</v>
  </rv>
  <rv s="0">
    <fb>202.77</fb>
    <v>1</v>
  </rv>
  <rv s="0">
    <fb>92.17</fb>
    <v>1</v>
  </rv>
  <rv s="0">
    <fb>44987</fb>
    <v>0</v>
  </rv>
  <rv s="0">
    <fb>145.91</fb>
    <v>1</v>
  </rv>
  <rv s="0">
    <fb>251.11</fb>
    <v>1</v>
  </rv>
  <rv s="0">
    <fb>92</fb>
    <v>1</v>
  </rv>
  <rv s="0">
    <fb>174.53</fb>
    <v>1</v>
  </rv>
  <rv s="0">
    <fb>23.314</fb>
    <v>1</v>
  </rv>
  <rv s="0">
    <fb>141.07</fb>
    <v>1</v>
  </rv>
  <rv s="0">
    <fb>219.06</fb>
    <v>1</v>
  </rv>
  <rv s="0">
    <fb>152.44999999999999</fb>
    <v>1</v>
  </rv>
  <rv s="0">
    <fb>190.9</fb>
    <v>1</v>
  </rv>
  <rv s="0">
    <fb>92.13</fb>
    <v>1</v>
  </rv>
  <rv s="0">
    <fb>44988</fb>
    <v>0</v>
  </rv>
  <rv s="0">
    <fb>151.03</fb>
    <v>1</v>
  </rv>
  <rv s="0">
    <fb>255.29</fb>
    <v>1</v>
  </rv>
  <rv s="0">
    <fb>93.65</fb>
    <v>1</v>
  </rv>
  <rv s="0">
    <fb>185.25</fb>
    <v>1</v>
  </rv>
  <rv s="0">
    <fb>23.89</fb>
    <v>1</v>
  </rv>
  <rv s="0">
    <fb>143.66</fb>
    <v>1</v>
  </rv>
  <rv s="0">
    <fb>223.77</fb>
    <v>1</v>
  </rv>
  <rv s="0">
    <fb>154.02000000000001</fb>
    <v>1</v>
  </rv>
  <rv s="0">
    <fb>197.79</fb>
    <v>1</v>
  </rv>
  <rv s="0">
    <fb>94.9</fb>
    <v>1</v>
  </rv>
  <rv s="0">
    <fb>44991</fb>
    <v>0</v>
  </rv>
  <rv s="0">
    <fb>153.83000000000001</fb>
    <v>1</v>
  </rv>
  <rv s="0">
    <fb>256.87</fb>
    <v>1</v>
  </rv>
  <rv s="0">
    <fb>95.13</fb>
    <v>1</v>
  </rv>
  <rv s="0">
    <fb>184.9</fb>
    <v>1</v>
  </rv>
  <rv s="0">
    <fb>23.553999999999998</fb>
    <v>1</v>
  </rv>
  <rv s="0">
    <fb>142.82</fb>
    <v>1</v>
  </rv>
  <rv s="0">
    <fb>226.75</fb>
    <v>1</v>
  </rv>
  <rv s="0">
    <fb>155.56</fb>
    <v>1</v>
  </rv>
  <rv s="0">
    <fb>193.81</fb>
    <v>1</v>
  </rv>
  <rv s="0">
    <fb>93.75</fb>
    <v>1</v>
  </rv>
  <rv s="0">
    <fb>44992</fb>
    <v>0</v>
  </rv>
  <rv s="0">
    <fb>151.6</fb>
    <v>1</v>
  </rv>
  <rv s="0">
    <fb>254.15</fb>
    <v>1</v>
  </rv>
  <rv s="0">
    <fb>93.86</fb>
    <v>1</v>
  </rv>
  <rv s="0">
    <fb>184.51</fb>
    <v>1</v>
  </rv>
  <rv s="0">
    <fb>23.288</fb>
    <v>1</v>
  </rv>
  <rv s="0">
    <fb>138.62</fb>
    <v>1</v>
  </rv>
  <rv s="0">
    <fb>223.17</fb>
    <v>1</v>
  </rv>
  <rv s="0">
    <fb>154.09</fb>
    <v>1</v>
  </rv>
  <rv s="0">
    <fb>187.71</fb>
    <v>1</v>
  </rv>
  <rv s="0">
    <fb>93.55</fb>
    <v>1</v>
  </rv>
  <rv s="0">
    <fb>44993</fb>
    <v>0</v>
  </rv>
  <rv s="0">
    <fb>152.87</fb>
    <v>1</v>
  </rv>
  <rv s="0">
    <fb>253.7</fb>
    <v>1</v>
  </rv>
  <rv s="0">
    <fb>94.25</fb>
    <v>1</v>
  </rv>
  <rv s="0">
    <fb>184.97</fb>
    <v>1</v>
  </rv>
  <rv s="0">
    <fb>24.181000000000001</fb>
    <v>1</v>
  </rv>
  <rv s="0">
    <fb>137.80000000000001</fb>
    <v>1</v>
  </rv>
  <rv s="0">
    <fb>222.19</fb>
    <v>1</v>
  </rv>
  <rv s="0">
    <fb>152.96</fb>
    <v>1</v>
  </rv>
  <rv s="0">
    <fb>182</fb>
    <v>1</v>
  </rv>
  <rv s="0">
    <fb>93.92</fb>
    <v>1</v>
  </rv>
  <rv s="0">
    <fb>44994</fb>
    <v>0</v>
  </rv>
  <rv s="0">
    <fb>150.59</fb>
    <v>1</v>
  </rv>
  <rv s="0">
    <fb>252.32</fb>
    <v>1</v>
  </rv>
  <rv s="0">
    <fb>92.32</fb>
    <v>1</v>
  </rv>
  <rv s="0">
    <fb>181.69</fb>
    <v>1</v>
  </rv>
  <rv s="0">
    <fb>23.436</fb>
    <v>1</v>
  </rv>
  <rv s="0">
    <fb>130.34</fb>
    <v>1</v>
  </rv>
  <rv s="0">
    <fb>220.01</fb>
    <v>1</v>
  </rv>
  <rv s="0">
    <fb>151.24</fb>
    <v>1</v>
  </rv>
  <rv s="0">
    <fb>172.92</fb>
    <v>1</v>
  </rv>
  <rv s="0">
    <fb>92.25</fb>
    <v>1</v>
  </rv>
  <rv s="0">
    <fb>44995</fb>
    <v>0</v>
  </rv>
  <rv s="0">
    <fb>148.5</fb>
    <v>1</v>
  </rv>
  <rv s="0">
    <fb>248.59</fb>
    <v>1</v>
  </rv>
  <rv s="0">
    <fb>90.63</fb>
    <v>1</v>
  </rv>
  <rv s="0">
    <fb>179.51</fb>
    <v>1</v>
  </rv>
  <rv s="0">
    <fb>22.965</fb>
    <v>1</v>
  </rv>
  <rv s="0">
    <fb>133.65</fb>
    <v>1</v>
  </rv>
  <rv s="0">
    <fb>216.14</fb>
    <v>1</v>
  </rv>
  <rv s="0">
    <fb>151.61000000000001</fb>
    <v>1</v>
  </rv>
  <rv s="0">
    <fb>173.44</fb>
    <v>1</v>
  </rv>
  <rv s="0">
    <fb>90.73</fb>
    <v>1</v>
  </rv>
  <rv s="0">
    <fb>44998</fb>
    <v>0</v>
  </rv>
  <rv s="0">
    <fb>150.47</fb>
    <v>1</v>
  </rv>
  <rv s="0">
    <fb>253.92</fb>
    <v>1</v>
  </rv>
  <rv s="0">
    <fb>91.11</fb>
    <v>1</v>
  </rv>
  <rv s="0">
    <fb>180.9</fb>
    <v>1</v>
  </rv>
  <rv s="0">
    <fb>22.966000000000001</fb>
    <v>1</v>
  </rv>
  <rv s="0">
    <fb>131.25</fb>
    <v>1</v>
  </rv>
  <rv s="0">
    <fb>214.47</fb>
    <v>1</v>
  </rv>
  <rv s="0">
    <fb>153.06</fb>
    <v>1</v>
  </rv>
  <rv s="0">
    <fb>174.48</fb>
    <v>1</v>
  </rv>
  <rv s="0">
    <fb>92.43</fb>
    <v>1</v>
  </rv>
  <rv s="0">
    <fb>44999</fb>
    <v>0</v>
  </rv>
  <rv s="0">
    <fb>152.59</fb>
    <v>1</v>
  </rv>
  <rv s="0">
    <fb>260.79000000000002</fb>
    <v>1</v>
  </rv>
  <rv s="0">
    <fb>93.97</fb>
    <v>1</v>
  </rv>
  <rv s="0">
    <fb>194.02</fb>
    <v>1</v>
  </rv>
  <rv s="0">
    <fb>24.062999999999999</fb>
    <v>1</v>
  </rv>
  <rv s="0">
    <fb>134.62</fb>
    <v>1</v>
  </rv>
  <rv s="0">
    <fb>218.66</fb>
    <v>1</v>
  </rv>
  <rv s="0">
    <fb>153.91999999999999</fb>
    <v>1</v>
  </rv>
  <rv s="0">
    <fb>183.26</fb>
    <v>1</v>
  </rv>
  <rv s="0">
    <fb>94.88</fb>
    <v>1</v>
  </rv>
  <rv s="0">
    <fb>45000</fb>
    <v>0</v>
  </rv>
  <rv s="0">
    <fb>152.99</fb>
    <v>1</v>
  </rv>
  <rv s="0">
    <fb>265.44</fb>
    <v>1</v>
  </rv>
  <rv s="0">
    <fb>96.11</fb>
    <v>1</v>
  </rv>
  <rv s="0">
    <fb>197.75</fb>
    <v>1</v>
  </rv>
  <rv s="0">
    <fb>24.228000000000002</fb>
    <v>1</v>
  </rv>
  <rv s="0">
    <fb>128.26</fb>
    <v>1</v>
  </rv>
  <rv s="0">
    <fb>216.37</fb>
    <v>1</v>
  </rv>
  <rv s="0">
    <fb>154.35</fb>
    <v>1</v>
  </rv>
  <rv s="0">
    <fb>180.45</fb>
    <v>1</v>
  </rv>
  <rv s="0">
    <fb>96.2</fb>
    <v>1</v>
  </rv>
  <rv s="0">
    <fb>45001</fb>
    <v>0</v>
  </rv>
  <rv s="0">
    <fb>155.85</fb>
    <v>1</v>
  </rv>
  <rv s="0">
    <fb>276.2</fb>
    <v>1</v>
  </rv>
  <rv s="0">
    <fb>100.32</fb>
    <v>1</v>
  </rv>
  <rv s="0">
    <fb>204.93</fb>
    <v>1</v>
  </rv>
  <rv s="0">
    <fb>25.541</fb>
    <v>1</v>
  </rv>
  <rv s="0">
    <fb>130.75</fb>
    <v>1</v>
  </rv>
  <rv s="0">
    <fb>217.45</fb>
    <v>1</v>
  </rv>
  <rv s="0">
    <fb>154.03</fb>
    <v>1</v>
  </rv>
  <rv s="0">
    <fb>184.13</fb>
    <v>1</v>
  </rv>
  <rv s="0">
    <fb>100.04</fb>
    <v>1</v>
  </rv>
  <rv s="0">
    <fb>45002</fb>
    <v>0</v>
  </rv>
  <rv s="0">
    <fb>155</fb>
    <v>1</v>
  </rv>
  <rv s="0">
    <fb>279.43</fb>
    <v>1</v>
  </rv>
  <rv s="0">
    <fb>101.62</fb>
    <v>1</v>
  </rv>
  <rv s="0">
    <fb>195.61</fb>
    <v>1</v>
  </rv>
  <rv s="0">
    <fb>25.725000000000001</fb>
    <v>1</v>
  </rv>
  <rv s="0">
    <fb>125.81</fb>
    <v>1</v>
  </rv>
  <rv s="0">
    <fb>217.39</fb>
    <v>1</v>
  </rv>
  <rv s="0">
    <fb>152.38</fb>
    <v>1</v>
  </rv>
  <rv s="0">
    <fb>98.95</fb>
    <v>1</v>
  </rv>
  <rv s="0">
    <fb>45005</fb>
    <v>0</v>
  </rv>
  <rv s="0">
    <fb>157.4</fb>
    <v>1</v>
  </rv>
  <rv s="0">
    <fb>272.23</fb>
    <v>1</v>
  </rv>
  <rv s="0">
    <fb>101.22</fb>
    <v>1</v>
  </rv>
  <rv s="0">
    <fb>197.81</fb>
    <v>1</v>
  </rv>
  <rv s="0">
    <fb>25.9</fb>
    <v>1</v>
  </rv>
  <rv s="0">
    <fb>127.14</fb>
    <v>1</v>
  </rv>
  <rv s="0">
    <fb>218.15</fb>
    <v>1</v>
  </rv>
  <rv s="0">
    <fb>153.88999999999999</fb>
    <v>1</v>
  </rv>
  <rv s="0">
    <fb>183.25</fb>
    <v>1</v>
  </rv>
  <rv s="0">
    <fb>97.71</fb>
    <v>1</v>
  </rv>
  <rv s="0">
    <fb>45006</fb>
    <v>0</v>
  </rv>
  <rv s="0">
    <fb>159.28</fb>
    <v>1</v>
  </rv>
  <rv s="0">
    <fb>273.77999999999997</fb>
    <v>1</v>
  </rv>
  <rv s="0">
    <fb>104.92</fb>
    <v>1</v>
  </rv>
  <rv s="0">
    <fb>202.16</fb>
    <v>1</v>
  </rv>
  <rv s="0">
    <fb>26.199000000000002</fb>
    <v>1</v>
  </rv>
  <rv s="0">
    <fb>130.55000000000001</fb>
    <v>1</v>
  </rv>
  <rv s="0">
    <fb>221.95</fb>
    <v>1</v>
  </rv>
  <rv s="0">
    <fb>197.58</fb>
    <v>1</v>
  </rv>
  <rv s="0">
    <fb>100.61</fb>
    <v>1</v>
  </rv>
  <rv s="0">
    <fb>45007</fb>
    <v>0</v>
  </rv>
  <rv s="0">
    <fb>157.83000000000001</fb>
    <v>1</v>
  </rv>
  <rv s="0">
    <fb>272.29000000000002</fb>
    <v>1</v>
  </rv>
  <rv s="0">
    <fb>103.37</fb>
    <v>1</v>
  </rv>
  <rv s="0">
    <fb>199.81</fb>
    <v>1</v>
  </rv>
  <rv s="0">
    <fb>26.468</fb>
    <v>1</v>
  </rv>
  <rv s="0">
    <fb>127.18</fb>
    <v>1</v>
  </rv>
  <rv s="0">
    <fb>220.04</fb>
    <v>1</v>
  </rv>
  <rv s="0">
    <fb>151.05000000000001</fb>
    <v>1</v>
  </rv>
  <rv s="0">
    <fb>191.15</fb>
    <v>1</v>
  </rv>
  <rv s="0">
    <fb>98.7</fb>
    <v>1</v>
  </rv>
  <rv s="0">
    <fb>45008</fb>
    <v>0</v>
  </rv>
  <rv s="0">
    <fb>158.93</fb>
    <v>1</v>
  </rv>
  <rv s="0">
    <fb>277.66000000000003</fb>
    <v>1</v>
  </rv>
  <rv s="0">
    <fb>105.6</fb>
    <v>1</v>
  </rv>
  <rv s="0">
    <fb>204.28</fb>
    <v>1</v>
  </rv>
  <rv s="0">
    <fb>27.190999999999999</fb>
    <v>1</v>
  </rv>
  <rv s="0">
    <fb>126.84</fb>
    <v>1</v>
  </rv>
  <rv s="0">
    <fb>222.59</fb>
    <v>1</v>
  </rv>
  <rv s="0">
    <fb>151.13</fb>
    <v>1</v>
  </rv>
  <rv s="0">
    <fb>192.22</fb>
    <v>1</v>
  </rv>
  <rv s="0">
    <fb>98.71</fb>
    <v>1</v>
  </rv>
  <rv s="0">
    <fb>45009</fb>
    <v>0</v>
  </rv>
  <rv s="0">
    <fb>160.25</fb>
    <v>1</v>
  </rv>
  <rv s="0">
    <fb>280.57</fb>
    <v>1</v>
  </rv>
  <rv s="0">
    <fb>105.44</fb>
    <v>1</v>
  </rv>
  <rv s="0">
    <fb>206.01</fb>
    <v>1</v>
  </rv>
  <rv s="0">
    <fb>26.779</fb>
    <v>1</v>
  </rv>
  <rv s="0">
    <fb>124.91</fb>
    <v>1</v>
  </rv>
  <rv s="0">
    <fb>221.04</fb>
    <v>1</v>
  </rv>
  <rv s="0">
    <fb>152.65</fb>
    <v>1</v>
  </rv>
  <rv s="0">
    <fb>190.41</fb>
    <v>1</v>
  </rv>
  <rv s="0">
    <fb>98.13</fb>
    <v>1</v>
  </rv>
  <rv s="0">
    <fb>45012</fb>
    <v>0</v>
  </rv>
  <rv s="0">
    <fb>158.28</fb>
    <v>1</v>
  </rv>
  <rv s="0">
    <fb>276.38</fb>
    <v>1</v>
  </rv>
  <rv s="0">
    <fb>102.46</fb>
    <v>1</v>
  </rv>
  <rv s="0">
    <fb>202.84</fb>
    <v>1</v>
  </rv>
  <rv s="0">
    <fb>26.530999999999999</fb>
    <v>1</v>
  </rv>
  <rv s="0">
    <fb>128.49</fb>
    <v>1</v>
  </rv>
  <rv s="0">
    <fb>221.81</fb>
    <v>1</v>
  </rv>
  <rv s="0">
    <fb>153.30000000000001</fb>
    <v>1</v>
  </rv>
  <rv s="0">
    <fb>191.81</fb>
    <v>1</v>
  </rv>
  <rv s="0">
    <fb>98.04</fb>
    <v>1</v>
  </rv>
  <rv s="0">
    <fb>45013</fb>
    <v>0</v>
  </rv>
  <rv s="0">
    <fb>157.65</fb>
    <v>1</v>
  </rv>
  <rv s="0">
    <fb>275.23</fb>
    <v>1</v>
  </rv>
  <rv s="0">
    <fb>101.03</fb>
    <v>1</v>
  </rv>
  <rv s="0">
    <fb>200.68</fb>
    <v>1</v>
  </rv>
  <rv s="0">
    <fb>26.41</fb>
    <v>1</v>
  </rv>
  <rv s="0">
    <fb>128.88</fb>
    <v>1</v>
  </rv>
  <rv s="0">
    <fb>220.33</fb>
    <v>1</v>
  </rv>
  <rv s="0">
    <fb>151.82</fb>
    <v>1</v>
  </rv>
  <rv s="0">
    <fb>189.19</fb>
    <v>1</v>
  </rv>
  <rv s="0">
    <fb>97.24</fb>
    <v>1</v>
  </rv>
  <rv s="0">
    <fb>45014</fb>
    <v>0</v>
  </rv>
  <rv s="0">
    <fb>160.77000000000001</fb>
    <v>1</v>
  </rv>
  <rv s="0">
    <fb>280.51</fb>
    <v>1</v>
  </rv>
  <rv s="0">
    <fb>101.39</fb>
    <v>1</v>
  </rv>
  <rv s="0">
    <fb>205.35</fb>
    <v>1</v>
  </rv>
  <rv s="0">
    <fb>26.984000000000002</fb>
    <v>1</v>
  </rv>
  <rv s="0">
    <fb>129.13999999999999</fb>
    <v>1</v>
  </rv>
  <rv s="0">
    <fb>223.3</fb>
    <v>1</v>
  </rv>
  <rv s="0">
    <fb>153.31</fb>
    <v>1</v>
  </rv>
  <rv s="0">
    <fb>193.88</fb>
    <v>1</v>
  </rv>
  <rv s="0">
    <fb>100.25</fb>
    <v>1</v>
  </rv>
  <rv s="0">
    <fb>45015</fb>
    <v>0</v>
  </rv>
  <rv s="0">
    <fb>162.36000000000001</fb>
    <v>1</v>
  </rv>
  <rv s="0">
    <fb>284.05</fb>
    <v>1</v>
  </rv>
  <rv s="0">
    <fb>100.89</fb>
    <v>1</v>
  </rv>
  <rv s="0">
    <fb>207.84</fb>
    <v>1</v>
  </rv>
  <rv s="0">
    <fb>27.382999999999999</fb>
    <v>1</v>
  </rv>
  <rv s="0">
    <fb>128.75</fb>
    <v>1</v>
  </rv>
  <rv s="0">
    <fb>222.36</fb>
    <v>1</v>
  </rv>
  <rv s="0">
    <fb>153.43</fb>
    <v>1</v>
  </rv>
  <rv s="0">
    <fb>195.28</fb>
    <v>1</v>
  </rv>
  <rv s="0">
    <fb>102</fb>
    <v>1</v>
  </rv>
  <rv s="0">
    <fb>45016</fb>
    <v>0</v>
  </rv>
  <rv s="0">
    <fb>164.9</fb>
    <v>1</v>
  </rv>
  <rv s="0">
    <fb>288.3</fb>
    <v>1</v>
  </rv>
  <rv s="0">
    <fb>103.73</fb>
    <v>1</v>
  </rv>
  <rv s="0">
    <fb>211.94</fb>
    <v>1</v>
  </rv>
  <rv s="0">
    <fb>27.777000000000001</fb>
    <v>1</v>
  </rv>
  <rv s="0">
    <fb>130.31</fb>
    <v>1</v>
  </rv>
  <rv s="0">
    <fb>225.46</fb>
    <v>1</v>
  </rv>
  <rv s="0">
    <fb>207.46</fb>
    <v>1</v>
  </rv>
  <rv s="0">
    <fb>103.29</fb>
    <v>1</v>
  </rv>
  <rv s="0">
    <fb>45019</fb>
    <v>0</v>
  </rv>
  <rv s="0">
    <fb>166.17</fb>
    <v>1</v>
  </rv>
  <rv s="0">
    <fb>287.23</fb>
    <v>1</v>
  </rv>
  <rv s="0">
    <fb>104.36</fb>
    <v>1</v>
  </rv>
  <rv s="0">
    <fb>213.07</fb>
    <v>1</v>
  </rv>
  <rv s="0">
    <fb>27.965</fb>
    <v>1</v>
  </rv>
  <rv s="0">
    <fb>130.16</fb>
    <v>1</v>
  </rv>
  <rv s="0">
    <fb>229</fb>
    <v>1</v>
  </rv>
  <rv s="0">
    <fb>156.85</fb>
    <v>1</v>
  </rv>
  <rv s="0">
    <fb>194.77</fb>
    <v>1</v>
  </rv>
  <rv s="0">
    <fb>102.41</fb>
    <v>1</v>
  </rv>
  <rv s="0">
    <fb>45020</fb>
    <v>0</v>
  </rv>
  <rv s="0">
    <fb>165.63</fb>
    <v>1</v>
  </rv>
  <rv s="0">
    <fb>287.18</fb>
    <v>1</v>
  </rv>
  <rv s="0">
    <fb>104.72</fb>
    <v>1</v>
  </rv>
  <rv s="0">
    <fb>214.72</fb>
    <v>1</v>
  </rv>
  <rv s="0">
    <fb>27.452999999999999</fb>
    <v>1</v>
  </rv>
  <rv s="0">
    <fb>128.41999999999999</fb>
    <v>1</v>
  </rv>
  <rv s="0">
    <fb>227.66</fb>
    <v>1</v>
  </rv>
  <rv s="0">
    <fb>158.49</fb>
    <v>1</v>
  </rv>
  <rv s="0">
    <fb>192.58</fb>
    <v>1</v>
  </rv>
  <rv s="0">
    <fb>103.95</fb>
    <v>1</v>
  </rv>
  <rv s="0">
    <fb>45021</fb>
    <v>0</v>
  </rv>
  <rv s="0">
    <fb>163.76</fb>
    <v>1</v>
  </rv>
  <rv s="0">
    <fb>284.33999999999997</fb>
    <v>1</v>
  </rv>
  <rv s="0">
    <fb>104.47</fb>
    <v>1</v>
  </rv>
  <rv s="0">
    <fb>211.48</fb>
    <v>1</v>
  </rv>
  <rv s="0">
    <fb>26.881</fb>
    <v>1</v>
  </rv>
  <rv s="0">
    <fb>127.61</fb>
    <v>1</v>
  </rv>
  <rv s="0">
    <fb>228.17</fb>
    <v>1</v>
  </rv>
  <rv s="0">
    <fb>165.61</fb>
    <v>1</v>
  </rv>
  <rv s="0">
    <fb>185.52</fb>
    <v>1</v>
  </rv>
  <rv s="0">
    <fb>101.1</fb>
    <v>1</v>
  </rv>
  <rv s="0">
    <fb>45022</fb>
    <v>0</v>
  </rv>
  <rv s="0">
    <fb>164.66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127.47</fb>
    <v>1</v>
  </rv>
  <rv s="0">
    <fb>225.99</fb>
    <v>1</v>
  </rv>
  <rv s="0">
    <fb>165.15</fb>
    <v>1</v>
  </rv>
  <rv s="0">
    <fb>185.06</fb>
    <v>1</v>
  </rv>
  <rv s="0">
    <fb>102.06</fb>
    <v>1</v>
  </rv>
  <rv s="0">
    <fb>45026</fb>
    <v>0</v>
  </rv>
  <rv s="0">
    <fb>162.03</fb>
    <v>1</v>
  </rv>
  <rv s="0">
    <fb>289.39</fb>
    <v>1</v>
  </rv>
  <rv s="0">
    <fb>106.44</fb>
    <v>1</v>
  </rv>
  <rv s="0">
    <fb>214.75</fb>
    <v>1</v>
  </rv>
  <rv s="0">
    <fb>27.579000000000001</fb>
    <v>1</v>
  </rv>
  <rv s="0">
    <fb>127.89</fb>
    <v>1</v>
  </rv>
  <rv s="0">
    <fb>226.43</fb>
    <v>1</v>
  </rv>
  <rv s="0">
    <fb>164.32</fb>
    <v>1</v>
  </rv>
  <rv s="0">
    <fb>102.17</fb>
    <v>1</v>
  </rv>
  <rv s="0">
    <fb>45027</fb>
    <v>0</v>
  </rv>
  <rv s="0">
    <fb>160.80000000000001</fb>
    <v>1</v>
  </rv>
  <rv s="0">
    <fb>282.83</fb>
    <v>1</v>
  </rv>
  <rv s="0">
    <fb>105.35</fb>
    <v>1</v>
  </rv>
  <rv s="0">
    <fb>213.85</fb>
    <v>1</v>
  </rv>
  <rv s="0">
    <fb>27.169</fb>
    <v>1</v>
  </rv>
  <rv s="0">
    <fb>128.52000000000001</fb>
    <v>1</v>
  </rv>
  <rv s="0">
    <fb>228.45</fb>
    <v>1</v>
  </rv>
  <rv s="0">
    <fb>164.27</fb>
    <v>1</v>
  </rv>
  <rv s="0">
    <fb>186.79</fb>
    <v>1</v>
  </rv>
  <rv s="0">
    <fb>99.92</fb>
    <v>1</v>
  </rv>
  <rv s="0">
    <fb>45028</fb>
    <v>0</v>
  </rv>
  <rv s="0">
    <fb>160.1</fb>
    <v>1</v>
  </rv>
  <rv s="0">
    <fb>283.49</fb>
    <v>1</v>
  </rv>
  <rv s="0">
    <fb>104.64</fb>
    <v>1</v>
  </rv>
  <rv s="0">
    <fb>214</fb>
    <v>1</v>
  </rv>
  <rv s="0">
    <fb>26.495000000000001</fb>
    <v>1</v>
  </rv>
  <rv s="0">
    <fb>128.5</fb>
    <v>1</v>
  </rv>
  <rv s="0">
    <fb>227.81</fb>
    <v>1</v>
  </rv>
  <rv s="0">
    <fb>163.92</fb>
    <v>1</v>
  </rv>
  <rv s="0">
    <fb>180.54</fb>
    <v>1</v>
  </rv>
  <rv s="0">
    <fb>97.83</fb>
    <v>1</v>
  </rv>
  <rv s="0">
    <fb>45029</fb>
    <v>0</v>
  </rv>
  <rv s="0">
    <fb>165.56</fb>
    <v>1</v>
  </rv>
  <rv s="0">
    <fb>289.83999999999997</fb>
    <v>1</v>
  </rv>
  <rv s="0">
    <fb>107.43</fb>
    <v>1</v>
  </rv>
  <rv s="0">
    <fb>26.463000000000001</fb>
    <v>1</v>
  </rv>
  <rv s="0">
    <fb>128.99</fb>
    <v>1</v>
  </rv>
  <rv s="0">
    <fb>232.69</fb>
    <v>1</v>
  </rv>
  <rv s="0">
    <fb>166.11</fb>
    <v>1</v>
  </rv>
  <rv s="0">
    <fb>185.9</fb>
    <v>1</v>
  </rv>
  <rv s="0">
    <fb>102.4</fb>
    <v>1</v>
  </rv>
  <rv s="0">
    <fb>45030</fb>
    <v>0</v>
  </rv>
  <rv s="0">
    <fb>165.21</fb>
    <v>1</v>
  </rv>
  <rv s="0">
    <fb>286.14</fb>
    <v>1</v>
  </rv>
  <rv s="0">
    <fb>108.87</fb>
    <v>1</v>
  </rv>
  <rv s="0">
    <fb>221.49</fb>
    <v>1</v>
  </rv>
  <rv s="0">
    <fb>26.757999999999999</fb>
    <v>1</v>
  </rv>
  <rv s="0">
    <fb>138.72999999999999</fb>
    <v>1</v>
  </rv>
  <rv s="0">
    <fb>234.02</fb>
    <v>1</v>
  </rv>
  <rv s="0">
    <fb>165.84</fb>
    <v>1</v>
  </rv>
  <rv s="0">
    <fb>185</fb>
    <v>1</v>
  </rv>
  <rv s="0">
    <fb>102.51</fb>
    <v>1</v>
  </rv>
  <rv s="0">
    <fb>45033</fb>
    <v>0</v>
  </rv>
  <rv s="0">
    <fb>165.23</fb>
    <v>1</v>
  </rv>
  <rv s="0">
    <fb>288.8</fb>
    <v>1</v>
  </rv>
  <rv s="0">
    <fb>105.97</fb>
    <v>1</v>
  </rv>
  <rv s="0">
    <fb>218.86</fb>
    <v>1</v>
  </rv>
  <rv s="0">
    <fb>27.001999999999999</fb>
    <v>1</v>
  </rv>
  <rv s="0">
    <fb>139.83000000000001</fb>
    <v>1</v>
  </rv>
  <rv s="0">
    <fb>233.48</fb>
    <v>1</v>
  </rv>
  <rv s="0">
    <fb>165.67</fb>
    <v>1</v>
  </rv>
  <rv s="0">
    <fb>187.04</fb>
    <v>1</v>
  </rv>
  <rv s="0">
    <fb>102.74</fb>
    <v>1</v>
  </rv>
  <rv s="0">
    <fb>45034</fb>
    <v>0</v>
  </rv>
  <rv s="0">
    <fb>166.47</fb>
    <v>1</v>
  </rv>
  <rv s="0">
    <fb>288.37</fb>
    <v>1</v>
  </rv>
  <rv s="0">
    <fb>104.5</fb>
    <v>1</v>
  </rv>
  <rv s="0">
    <fb>217.89</fb>
    <v>1</v>
  </rv>
  <rv s="0">
    <fb>27.667000000000002</fb>
    <v>1</v>
  </rv>
  <rv s="0">
    <fb>141.4</fb>
    <v>1</v>
  </rv>
  <rv s="0">
    <fb>233.6</fb>
    <v>1</v>
  </rv>
  <rv s="0">
    <fb>161.01</fb>
    <v>1</v>
  </rv>
  <rv s="0">
    <fb>184.31</fb>
    <v>1</v>
  </rv>
  <rv s="0">
    <fb>102.3</fb>
    <v>1</v>
  </rv>
  <rv s="0">
    <fb>45035</fb>
    <v>0</v>
  </rv>
  <rv s="0">
    <fb>167.63</fb>
    <v>1</v>
  </rv>
  <rv s="0">
    <fb>288.45</fb>
    <v>1</v>
  </rv>
  <rv s="0">
    <fb>104.18</fb>
    <v>1</v>
  </rv>
  <rv s="0">
    <fb>215.7</fb>
    <v>1</v>
  </rv>
  <rv s="0">
    <fb>27.931000000000001</fb>
    <v>1</v>
  </rv>
  <rv s="0">
    <fb>141.22</fb>
    <v>1</v>
  </rv>
  <rv s="0">
    <fb>232.57</fb>
    <v>1</v>
  </rv>
  <rv s="0">
    <fb>162.53</fb>
    <v>1</v>
  </rv>
  <rv s="0">
    <fb>180.59</fb>
    <v>1</v>
  </rv>
  <rv s="0">
    <fb>104.3</fb>
    <v>1</v>
  </rv>
  <rv s="0">
    <fb>45036</fb>
    <v>0</v>
  </rv>
  <rv s="0">
    <fb>166.65</fb>
    <v>1</v>
  </rv>
  <rv s="0">
    <fb>286.11</fb>
    <v>1</v>
  </rv>
  <rv s="0">
    <fb>105.29</fb>
    <v>1</v>
  </rv>
  <rv s="0">
    <fb>27.103999999999999</fb>
    <v>1</v>
  </rv>
  <rv s="0">
    <fb>140.81</fb>
    <v>1</v>
  </rv>
  <rv s="0">
    <fb>234.6</fb>
    <v>1</v>
  </rv>
  <rv s="0">
    <fb>163.58000000000001</fb>
    <v>1</v>
  </rv>
  <rv s="0">
    <fb>162.99</fb>
    <v>1</v>
  </rv>
  <rv s="0">
    <fb>103.81</fb>
    <v>1</v>
  </rv>
  <rv s="0">
    <fb>45037</fb>
    <v>0</v>
  </rv>
  <rv s="0">
    <fb>165.02</fb>
    <v>1</v>
  </rv>
  <rv s="0">
    <fb>285.76</fb>
    <v>1</v>
  </rv>
  <rv s="0">
    <fb>105.41</fb>
    <v>1</v>
  </rv>
  <rv s="0">
    <fb>212.89</fb>
    <v>1</v>
  </rv>
  <rv s="0">
    <fb>27.119</fb>
    <v>1</v>
  </rv>
  <rv s="0">
    <fb>140.54</fb>
    <v>1</v>
  </rv>
  <rv s="0">
    <fb>234.05</fb>
    <v>1</v>
  </rv>
  <rv s="0">
    <fb>162.69</fb>
    <v>1</v>
  </rv>
  <rv s="0">
    <fb>165.08</fb>
    <v>1</v>
  </rv>
  <rv s="0">
    <fb>106.96</fb>
    <v>1</v>
  </rv>
  <rv s="0">
    <fb>45040</fb>
    <v>0</v>
  </rv>
  <rv s="0">
    <fb>165.33</fb>
    <v>1</v>
  </rv>
  <rv s="0">
    <fb>281.77</fb>
    <v>1</v>
  </rv>
  <rv s="0">
    <fb>212.79</fb>
    <v>1</v>
  </rv>
  <rv s="0">
    <fb>27.042000000000002</fb>
    <v>1</v>
  </rv>
  <rv s="0">
    <fb>140.72999999999999</fb>
    <v>1</v>
  </rv>
  <rv s="0">
    <fb>232.76</fb>
    <v>1</v>
  </rv>
  <rv s="0">
    <fb>163.68</fb>
    <v>1</v>
  </rv>
  <rv s="0">
    <fb>162.55000000000001</fb>
    <v>1</v>
  </rv>
  <rv s="0">
    <fb>106.21</fb>
    <v>1</v>
  </rv>
  <rv s="0">
    <fb>45041</fb>
    <v>0</v>
  </rv>
  <rv s="0">
    <fb>163.77000000000001</fb>
    <v>1</v>
  </rv>
  <rv s="0">
    <fb>275.42</fb>
    <v>1</v>
  </rv>
  <rv s="0">
    <fb>103.85</fb>
    <v>1</v>
  </rv>
  <rv s="0">
    <fb>207.55</fb>
    <v>1</v>
  </rv>
  <rv s="0">
    <fb>26.241</fb>
    <v>1</v>
  </rv>
  <rv s="0">
    <fb>137.66999999999999</fb>
    <v>1</v>
  </rv>
  <rv s="0">
    <fb>229.59</fb>
    <v>1</v>
  </rv>
  <rv s="0">
    <fb>165.18</fb>
    <v>1</v>
  </rv>
  <rv s="0">
    <fb>160.66999999999999</fb>
    <v>1</v>
  </rv>
  <rv s="0">
    <fb>102.57</fb>
    <v>1</v>
  </rv>
  <rv s="0">
    <fb>45042</fb>
    <v>0</v>
  </rv>
  <rv s="0">
    <fb>295.37</fb>
    <v>1</v>
  </rv>
  <rv s="0">
    <fb>103.71</fb>
    <v>1</v>
  </rv>
  <rv s="0">
    <fb>209.4</fb>
    <v>1</v>
  </rv>
  <rv s="0">
    <fb>26.956</fb>
    <v>1</v>
  </rv>
  <rv s="0">
    <fb>135.22999999999999</fb>
    <v>1</v>
  </rv>
  <rv s="0">
    <fb>228.15</fb>
    <v>1</v>
  </rv>
  <rv s="0">
    <fb>162.62</fb>
    <v>1</v>
  </rv>
  <rv s="0">
    <fb>153.75</fb>
    <v>1</v>
  </rv>
  <rv s="0">
    <fb>104.98</fb>
    <v>1</v>
  </rv>
  <rv s="0">
    <fb>45043</fb>
    <v>0</v>
  </rv>
  <rv s="0">
    <fb>168.41</fb>
    <v>1</v>
  </rv>
  <rv s="0">
    <fb>304.83</fb>
    <v>1</v>
  </rv>
  <rv s="0">
    <fb>107.59</fb>
    <v>1</v>
  </rv>
  <rv s="0">
    <fb>238.56</fb>
    <v>1</v>
  </rv>
  <rv s="0">
    <fb>27.225999999999999</fb>
    <v>1</v>
  </rv>
  <rv s="0">
    <fb>137.05000000000001</fb>
    <v>1</v>
  </rv>
  <rv s="0">
    <fb>229.01</fb>
    <v>1</v>
  </rv>
  <rv s="0">
    <fb>163</fb>
    <v>1</v>
  </rv>
  <rv s="0">
    <fb>160.19</fb>
    <v>1</v>
  </rv>
  <rv s="0">
    <fb>109.82</fb>
    <v>1</v>
  </rv>
  <rv s="0">
    <fb>45044</fb>
    <v>0</v>
  </rv>
  <rv s="0">
    <fb>169.68</fb>
    <v>1</v>
  </rv>
  <rv s="0">
    <fb>307.26</fb>
    <v>1</v>
  </rv>
  <rv s="0">
    <fb>107.34</fb>
    <v>1</v>
  </rv>
  <rv s="0">
    <fb>240.32</fb>
    <v>1</v>
  </rv>
  <rv s="0">
    <fb>27.748999999999999</fb>
    <v>1</v>
  </rv>
  <rv s="0">
    <fb>138.24</fb>
    <v>1</v>
  </rv>
  <rv s="0">
    <fb>232.73</fb>
    <v>1</v>
  </rv>
  <rv s="0">
    <fb>163.69999999999999</fb>
    <v>1</v>
  </rv>
  <rv s="0">
    <fb>164.31</fb>
    <v>1</v>
  </rv>
  <rv s="0">
    <fb>105.45</fb>
    <v>1</v>
  </rv>
  <rv s="0">
    <fb>45047</fb>
    <v>0</v>
  </rv>
  <rv s="0">
    <fb>169.59</fb>
    <v>1</v>
  </rv>
  <rv s="0">
    <fb>305.56</fb>
    <v>1</v>
  </rv>
  <rv s="0">
    <fb>107.2</fb>
    <v>1</v>
  </rv>
  <rv s="0">
    <fb>243.18</fb>
    <v>1</v>
  </rv>
  <rv s="0">
    <fb>28.91</fb>
    <v>1</v>
  </rv>
  <rv s="0">
    <fb>141.19999999999999</fb>
    <v>1</v>
  </rv>
  <rv s="0">
    <fb>232.51</fb>
    <v>1</v>
  </rv>
  <rv s="0">
    <fb>163.6</fb>
    <v>1</v>
  </rv>
  <rv s="0">
    <fb>161.83000000000001</fb>
    <v>1</v>
  </rv>
  <rv s="0">
    <fb>102.05</fb>
    <v>1</v>
  </rv>
  <rv s="0">
    <fb>45048</fb>
    <v>0</v>
  </rv>
  <rv s="0">
    <fb>168.54</fb>
    <v>1</v>
  </rv>
  <rv s="0">
    <fb>305.41000000000003</fb>
    <v>1</v>
  </rv>
  <rv s="0">
    <fb>105.32</fb>
    <v>1</v>
  </rv>
  <rv s="0">
    <fb>239.24</fb>
    <v>1</v>
  </rv>
  <rv s="0">
    <fb>28.21</fb>
    <v>1</v>
  </rv>
  <rv s="0">
    <fb>138.91999999999999</fb>
    <v>1</v>
  </rv>
  <rv s="0">
    <fb>226.98</fb>
    <v>1</v>
  </rv>
  <rv s="0">
    <fb>165.03</fb>
    <v>1</v>
  </rv>
  <rv s="0">
    <fb>160.31</fb>
    <v>1</v>
  </rv>
  <rv s="0">
    <fb>103.63</fb>
    <v>1</v>
  </rv>
  <rv s="0">
    <fb>45049</fb>
    <v>0</v>
  </rv>
  <rv s="0">
    <fb>167.45</fb>
    <v>1</v>
  </rv>
  <rv s="0">
    <fb>304.39999999999998</fb>
    <v>1</v>
  </rv>
  <rv s="0">
    <fb>237.03</fb>
    <v>1</v>
  </rv>
  <rv s="0">
    <fb>27.802</fb>
    <v>1</v>
  </rv>
  <rv s="0">
    <fb>135.97999999999999</fb>
    <v>1</v>
  </rv>
  <rv s="0">
    <fb>225.98</fb>
    <v>1</v>
  </rv>
  <rv s="0">
    <fb>162.87</fb>
    <v>1</v>
  </rv>
  <rv s="0">
    <fb>160.61000000000001</fb>
    <v>1</v>
  </rv>
  <rv s="0">
    <fb>103.65</fb>
    <v>1</v>
  </rv>
  <rv s="0">
    <fb>45050</fb>
    <v>0</v>
  </rv>
  <rv s="0">
    <fb>165.79</fb>
    <v>1</v>
  </rv>
  <rv s="0">
    <fb>104.69</fb>
    <v>1</v>
  </rv>
  <rv s="0">
    <fb>233.52</fb>
    <v>1</v>
  </rv>
  <rv s="0">
    <fb>27.562000000000001</fb>
    <v>1</v>
  </rv>
  <rv s="0">
    <fb>134.12</fb>
    <v>1</v>
  </rv>
  <rv s="0">
    <fb>225.6</fb>
    <v>1</v>
  </rv>
  <rv s="0">
    <fb>162.13</fb>
    <v>1</v>
  </rv>
  <rv s="0">
    <fb>161.19999999999999</fb>
    <v>1</v>
  </rv>
  <rv s="0">
    <fb>104</fb>
    <v>1</v>
  </rv>
  <rv s="0">
    <fb>45051</fb>
    <v>0</v>
  </rv>
  <rv s="0">
    <fb>173.57</fb>
    <v>1</v>
  </rv>
  <rv s="0">
    <fb>310.64999999999998</fb>
    <v>1</v>
  </rv>
  <rv s="0">
    <fb>105.57</fb>
    <v>1</v>
  </rv>
  <rv s="0">
    <fb>232.78</fb>
    <v>1</v>
  </rv>
  <rv s="0">
    <fb>28.68</fb>
    <v>1</v>
  </rv>
  <rv s="0">
    <fb>136.74</fb>
    <v>1</v>
  </rv>
  <rv s="0">
    <fb>231.78</fb>
    <v>1</v>
  </rv>
  <rv s="0">
    <fb>162.68</fb>
    <v>1</v>
  </rv>
  <rv s="0">
    <fb>170.06</fb>
    <v>1</v>
  </rv>
  <rv s="0">
    <fb>105.655</fb>
    <v>1</v>
  </rv>
  <rv s="0">
    <fb>45054</fb>
    <v>0</v>
  </rv>
  <rv s="0">
    <fb>173.5</fb>
    <v>1</v>
  </rv>
  <rv s="0">
    <fb>308.64999999999998</fb>
    <v>1</v>
  </rv>
  <rv s="0">
    <fb>107.77</fb>
    <v>1</v>
  </rv>
  <rv s="0">
    <fb>233.27</fb>
    <v>1</v>
  </rv>
  <rv s="0">
    <fb>29.151</fb>
    <v>1</v>
  </rv>
  <rv s="0">
    <fb>137.07</fb>
    <v>1</v>
  </rv>
  <rv s="0">
    <fb>232.23</fb>
    <v>1</v>
  </rv>
  <rv s="0">
    <fb>162.31</fb>
    <v>1</v>
  </rv>
  <rv s="0">
    <fb>171.79</fb>
    <v>1</v>
  </rv>
  <rv s="0">
    <fb>105.83</fb>
    <v>1</v>
  </rv>
  <rv s="0">
    <fb>45055</fb>
    <v>0</v>
  </rv>
  <rv s="0">
    <fb>171.77</fb>
    <v>1</v>
  </rv>
  <rv s="0">
    <fb>307</fb>
    <v>1</v>
  </rv>
  <rv s="0">
    <fb>107.35</fb>
    <v>1</v>
  </rv>
  <rv s="0">
    <fb>233.37</fb>
    <v>1</v>
  </rv>
  <rv s="0">
    <fb>28.571000000000002</fb>
    <v>1</v>
  </rv>
  <rv s="0">
    <fb>136.41</fb>
    <v>1</v>
  </rv>
  <rv s="0">
    <fb>233.26</fb>
    <v>1</v>
  </rv>
  <rv s="0">
    <fb>161.05000000000001</fb>
    <v>1</v>
  </rv>
  <rv s="0">
    <fb>169.15</fb>
    <v>1</v>
  </rv>
  <rv s="0">
    <fb>106.62</fb>
    <v>1</v>
  </rv>
  <rv s="0">
    <fb>45056</fb>
    <v>0</v>
  </rv>
  <rv s="0">
    <fb>173.55500000000001</fb>
    <v>1</v>
  </rv>
  <rv s="0">
    <fb>312.31</fb>
    <v>1</v>
  </rv>
  <rv s="0">
    <fb>111.75</fb>
    <v>1</v>
  </rv>
  <rv s="0">
    <fb>233.08</fb>
    <v>1</v>
  </rv>
  <rv s="0">
    <fb>28.885000000000002</fb>
    <v>1</v>
  </rv>
  <rv s="0">
    <fb>136.47999999999999</fb>
    <v>1</v>
  </rv>
  <rv s="0">
    <fb>231.27</fb>
    <v>1</v>
  </rv>
  <rv s="0">
    <fb>161.65</fb>
    <v>1</v>
  </rv>
  <rv s="0">
    <fb>110.19</fb>
    <v>1</v>
  </rv>
  <rv s="0">
    <fb>45057</fb>
    <v>0</v>
  </rv>
  <rv s="0">
    <fb>173.75</fb>
    <v>1</v>
  </rv>
  <rv s="0">
    <fb>310.11</fb>
    <v>1</v>
  </rv>
  <rv s="0">
    <fb>116.57</fb>
    <v>1</v>
  </rv>
  <rv s="0">
    <fb>235.79</fb>
    <v>1</v>
  </rv>
  <rv s="0">
    <fb>28.577999999999999</fb>
    <v>1</v>
  </rv>
  <rv s="0">
    <fb>136.05000000000001</fb>
    <v>1</v>
  </rv>
  <rv s="0">
    <fb>231.01</fb>
    <v>1</v>
  </rv>
  <rv s="0">
    <fb>160.99</fb>
    <v>1</v>
  </rv>
  <rv s="0">
    <fb>112.18</fb>
    <v>1</v>
  </rv>
  <rv s="0">
    <fb>45058</fb>
    <v>0</v>
  </rv>
  <rv s="0">
    <fb>172.57</fb>
    <v>1</v>
  </rv>
  <rv s="0">
    <fb>308.97000000000003</fb>
    <v>1</v>
  </rv>
  <rv s="0">
    <fb>117.51</fb>
    <v>1</v>
  </rv>
  <rv s="0">
    <fb>233.81</fb>
    <v>1</v>
  </rv>
  <rv s="0">
    <fb>28.34</fb>
    <v>1</v>
  </rv>
  <rv s="0">
    <fb>134.1</fb>
    <v>1</v>
  </rv>
  <rv s="0">
    <fb>231.38</fb>
    <v>1</v>
  </rv>
  <rv s="0">
    <fb>160.78</fb>
    <v>1</v>
  </rv>
  <rv s="0">
    <fb>167.98</fb>
    <v>1</v>
  </rv>
  <rv s="0">
    <fb>110.26</fb>
    <v>1</v>
  </rv>
  <rv s="0">
    <fb>45061</fb>
    <v>0</v>
  </rv>
  <rv s="0">
    <fb>172.07</fb>
    <v>1</v>
  </rv>
  <rv s="0">
    <fb>309.45999999999998</fb>
    <v>1</v>
  </rv>
  <rv s="0">
    <fb>116.51</fb>
    <v>1</v>
  </rv>
  <rv s="0">
    <fb>238.86</fb>
    <v>1</v>
  </rv>
  <rv s="0">
    <fb>28.952999999999999</fb>
    <v>1</v>
  </rv>
  <rv s="0">
    <fb>232.81</fb>
    <v>1</v>
  </rv>
  <rv s="0">
    <fb>159.55000000000001</fb>
    <v>1</v>
  </rv>
  <rv s="0">
    <fb>166.35</fb>
    <v>1</v>
  </rv>
  <rv s="0">
    <fb>111.2</fb>
    <v>1</v>
  </rv>
  <rv s="0">
    <fb>45062</fb>
    <v>0</v>
  </rv>
  <rv s="0">
    <fb>311.74</fb>
    <v>1</v>
  </rv>
  <rv s="0">
    <fb>119.51</fb>
    <v>1</v>
  </rv>
  <rv s="0">
    <fb>238.82</fb>
    <v>1</v>
  </rv>
  <rv s="0">
    <fb>29.213000000000001</fb>
    <v>1</v>
  </rv>
  <rv s="0">
    <fb>134.32</fb>
    <v>1</v>
  </rv>
  <rv s="0">
    <fb>230.47</fb>
    <v>1</v>
  </rv>
  <rv s="0">
    <fb>159.34</fb>
    <v>1</v>
  </rv>
  <rv s="0">
    <fb>166.52</fb>
    <v>1</v>
  </rv>
  <rv s="0">
    <fb>113.4</fb>
    <v>1</v>
  </rv>
  <rv s="0">
    <fb>45063</fb>
    <v>0</v>
  </rv>
  <rv s="0">
    <fb>172.69</fb>
    <v>1</v>
  </rv>
  <rv s="0">
    <fb>314</fb>
    <v>1</v>
  </rv>
  <rv s="0">
    <fb>120.84</fb>
    <v>1</v>
  </rv>
  <rv s="0">
    <fb>242.48500000000001</fb>
    <v>1</v>
  </rv>
  <rv s="0">
    <fb>30.178000000000001</fb>
    <v>1</v>
  </rv>
  <rv s="0">
    <fb>232.65</fb>
    <v>1</v>
  </rv>
  <rv s="0">
    <fb>158.99</fb>
    <v>1</v>
  </rv>
  <rv s="0">
    <fb>173.86</fb>
    <v>1</v>
  </rv>
  <rv s="0">
    <fb>115.5</fb>
    <v>1</v>
  </rv>
  <rv s="0">
    <fb>45064</fb>
    <v>0</v>
  </rv>
  <rv s="0">
    <fb>175.05</fb>
    <v>1</v>
  </rv>
  <rv s="0">
    <fb>318.52</fb>
    <v>1</v>
  </rv>
  <rv s="0">
    <fb>122.83</fb>
    <v>1</v>
  </rv>
  <rv s="0">
    <fb>246.85</fb>
    <v>1</v>
  </rv>
  <rv s="0">
    <fb>31.678000000000001</fb>
    <v>1</v>
  </rv>
  <rv s="0">
    <fb>139.5</fb>
    <v>1</v>
  </rv>
  <rv s="0">
    <fb>158.47999999999999</fb>
    <v>1</v>
  </rv>
  <rv s="0">
    <fb>176.89</fb>
    <v>1</v>
  </rv>
  <rv s="0">
    <fb>118.15</fb>
    <v>1</v>
  </rv>
  <rv s="0">
    <fb>45065</fb>
    <v>0</v>
  </rv>
  <rv s="0">
    <fb>318.33999999999997</fb>
    <v>1</v>
  </rv>
  <rv s="0">
    <fb>122.76</fb>
    <v>1</v>
  </rv>
  <rv s="0">
    <fb>245.64</fb>
    <v>1</v>
  </rv>
  <rv s="0">
    <fb>31.263999999999999</fb>
    <v>1</v>
  </rv>
  <rv s="0">
    <fb>139.18</fb>
    <v>1</v>
  </rv>
  <rv s="0">
    <fb>233.31</fb>
    <v>1</v>
  </rv>
  <rv s="0">
    <fb>158.91</fb>
    <v>1</v>
  </rv>
  <rv s="0">
    <fb>180.14</fb>
    <v>1</v>
  </rv>
  <rv s="0">
    <fb>116.25</fb>
    <v>1</v>
  </rv>
  <rv s="0">
    <fb>45068</fb>
    <v>0</v>
  </rv>
  <rv s="0">
    <fb>174.2</fb>
    <v>1</v>
  </rv>
  <rv s="0">
    <fb>321.18</fb>
    <v>1</v>
  </rv>
  <rv s="0">
    <fb>125.05</fb>
    <v>1</v>
  </rv>
  <rv s="0">
    <fb>248.32</fb>
    <v>1</v>
  </rv>
  <rv s="0">
    <fb>31.175999999999998</fb>
    <v>1</v>
  </rv>
  <rv s="0">
    <fb>138.03</fb>
    <v>1</v>
  </rv>
  <rv s="0">
    <fb>231.28</fb>
    <v>1</v>
  </rv>
  <rv s="0">
    <fb>156.87</fb>
    <v>1</v>
  </rv>
  <rv s="0">
    <fb>188.87</fb>
    <v>1</v>
  </rv>
  <rv s="0">
    <fb>115.01</fb>
    <v>1</v>
  </rv>
  <rv s="0">
    <fb>45069</fb>
    <v>0</v>
  </rv>
  <rv s="0">
    <fb>171.56</fb>
    <v>1</v>
  </rv>
  <rv s="0">
    <fb>315.26</fb>
    <v>1</v>
  </rv>
  <rv s="0">
    <fb>122.56</fb>
    <v>1</v>
  </rv>
  <rv s="0">
    <fb>246.74</fb>
    <v>1</v>
  </rv>
  <rv s="0">
    <fb>30.687999999999999</fb>
    <v>1</v>
  </rv>
  <rv s="0">
    <fb>136.59</fb>
    <v>1</v>
  </rv>
  <rv s="0">
    <fb>224.58</fb>
    <v>1</v>
  </rv>
  <rv s="0">
    <fb>156.81</fb>
    <v>1</v>
  </rv>
  <rv s="0">
    <fb>185.77</fb>
    <v>1</v>
  </rv>
  <rv s="0">
    <fb>114.99</fb>
    <v>1</v>
  </rv>
  <rv s="0">
    <fb>45070</fb>
    <v>0</v>
  </rv>
  <rv s="0">
    <fb>171.84</fb>
    <v>1</v>
  </rv>
  <rv s="0">
    <fb>313.85000000000002</fb>
    <v>1</v>
  </rv>
  <rv s="0">
    <fb>120.9</fb>
    <v>1</v>
  </rv>
  <rv s="0">
    <fb>249.21</fb>
    <v>1</v>
  </rv>
  <rv s="0">
    <fb>30.538</fb>
    <v>1</v>
  </rv>
  <rv s="0">
    <fb>135.34</fb>
    <v>1</v>
  </rv>
  <rv s="0">
    <fb>222.25</fb>
    <v>1</v>
  </rv>
  <rv s="0">
    <fb>156.66</fb>
    <v>1</v>
  </rv>
  <rv s="0">
    <fb>182.9</fb>
    <v>1</v>
  </rv>
  <rv s="0">
    <fb>116.75</fb>
    <v>1</v>
  </rv>
  <rv s="0">
    <fb>45071</fb>
    <v>0</v>
  </rv>
  <rv s="0">
    <fb>172.99</fb>
    <v>1</v>
  </rv>
  <rv s="0">
    <fb>325.92</fb>
    <v>1</v>
  </rv>
  <rv s="0">
    <fb>123.48</fb>
    <v>1</v>
  </rv>
  <rv s="0">
    <fb>252.69</fb>
    <v>1</v>
  </rv>
  <rv s="0">
    <fb>37.979999999999997</fb>
    <v>1</v>
  </rv>
  <rv s="0">
    <fb>135.66999999999999</fb>
    <v>1</v>
  </rv>
  <rv s="0">
    <fb>223.38</fb>
    <v>1</v>
  </rv>
  <rv s="0">
    <fb>154.41</fb>
    <v>1</v>
  </rv>
  <rv s="0">
    <fb>184.47</fb>
    <v>1</v>
  </rv>
  <rv s="0">
    <fb>115</fb>
    <v>1</v>
  </rv>
  <rv s="0">
    <fb>45072</fb>
    <v>0</v>
  </rv>
  <rv s="0">
    <fb>175.43</fb>
    <v>1</v>
  </rv>
  <rv s="0">
    <fb>332.89</fb>
    <v>1</v>
  </rv>
  <rv s="0">
    <fb>124.61</fb>
    <v>1</v>
  </rv>
  <rv s="0">
    <fb>262.04000000000002</fb>
    <v>1</v>
  </rv>
  <rv s="0">
    <fb>38.945999999999998</fb>
    <v>1</v>
  </rv>
  <rv s="0">
    <fb>136.94</fb>
    <v>1</v>
  </rv>
  <rv s="0">
    <fb>225.01</fb>
    <v>1</v>
  </rv>
  <rv s="0">
    <fb>193.17</fb>
    <v>1</v>
  </rv>
  <rv s="0">
    <fb>120.11</fb>
    <v>1</v>
  </rv>
  <rv s="0">
    <fb>45076</fb>
    <v>0</v>
  </rv>
  <rv s="0">
    <fb>177.3</fb>
    <v>1</v>
  </rv>
  <rv s="0">
    <fb>331.21</fb>
    <v>1</v>
  </rv>
  <rv s="0">
    <fb>123.67</fb>
    <v>1</v>
  </rv>
  <rv s="0">
    <fb>262.52</fb>
    <v>1</v>
  </rv>
  <rv s="0">
    <fb>40.110999999999997</fb>
    <v>1</v>
  </rv>
  <rv s="0">
    <fb>137.46</fb>
    <v>1</v>
  </rv>
  <rv s="0">
    <fb>221.64</fb>
    <v>1</v>
  </rv>
  <rv s="0">
    <fb>154.37</fb>
    <v>1</v>
  </rv>
  <rv s="0">
    <fb>201.16</fb>
    <v>1</v>
  </rv>
  <rv s="0">
    <fb>121.66</fb>
    <v>1</v>
  </rv>
  <rv s="0">
    <fb>45077</fb>
    <v>0</v>
  </rv>
  <rv s="0">
    <fb>177.25</fb>
    <v>1</v>
  </rv>
  <rv s="0">
    <fb>328.39</fb>
    <v>1</v>
  </rv>
  <rv s="0">
    <fb>122.87</fb>
    <v>1</v>
  </rv>
  <rv s="0">
    <fb>264.72000000000003</fb>
    <v>1</v>
  </rv>
  <rv s="0">
    <fb>37.834000000000003</fb>
    <v>1</v>
  </rv>
  <rv s="0">
    <fb>135.71</fb>
    <v>1</v>
  </rv>
  <rv s="0">
    <fb>221.03</fb>
    <v>1</v>
  </rv>
  <rv s="0">
    <fb>155.06</fb>
    <v>1</v>
  </rv>
  <rv s="0">
    <fb>203.93</fb>
    <v>1</v>
  </rv>
  <rv s="0">
    <fb>120.58</fb>
    <v>1</v>
  </rv>
  <rv s="0">
    <fb>45078</fb>
    <v>0</v>
  </rv>
  <rv s="0">
    <fb>180.09</fb>
    <v>1</v>
  </rv>
  <rv s="0">
    <fb>332.58</fb>
    <v>1</v>
  </rv>
  <rv s="0">
    <fb>123.72</fb>
    <v>1</v>
  </rv>
  <rv s="0">
    <fb>272.61</fb>
    <v>1</v>
  </rv>
  <rv s="0">
    <fb>39.770000000000003</fb>
    <v>1</v>
  </rv>
  <rv s="0">
    <fb>137.58000000000001</fb>
    <v>1</v>
  </rv>
  <rv s="0">
    <fb>226.5</fb>
    <v>1</v>
  </rv>
  <rv s="0">
    <fb>154.54</fb>
    <v>1</v>
  </rv>
  <rv s="0">
    <fb>207.52</fb>
    <v>1</v>
  </rv>
  <rv s="0">
    <fb>122.77</fb>
    <v>1</v>
  </rv>
  <rv s="0">
    <fb>45079</fb>
    <v>0</v>
  </rv>
  <rv s="0">
    <fb>180.95</fb>
    <v>1</v>
  </rv>
  <rv s="0">
    <fb>335.4</fb>
    <v>1</v>
  </rv>
  <rv s="0">
    <fb>124.67</fb>
    <v>1</v>
  </rv>
  <rv s="0">
    <fb>39.326999999999998</fb>
    <v>1</v>
  </rv>
  <rv s="0">
    <fb>140.47</fb>
    <v>1</v>
  </rv>
  <rv s="0">
    <fb>228.79</fb>
    <v>1</v>
  </rv>
  <rv s="0">
    <fb>156.97</fb>
    <v>1</v>
  </rv>
  <rv s="0">
    <fb>213.97</fb>
    <v>1</v>
  </rv>
  <rv s="0">
    <fb>124.25</fb>
    <v>1</v>
  </rv>
  <rv s="0">
    <fb>45082</fb>
    <v>0</v>
  </rv>
  <rv s="0">
    <fb>179.58</fb>
    <v>1</v>
  </rv>
  <rv s="0">
    <fb>335.94</fb>
    <v>1</v>
  </rv>
  <rv s="0">
    <fb>126.01</fb>
    <v>1</v>
  </rv>
  <rv s="0">
    <fb>271.39</fb>
    <v>1</v>
  </rv>
  <rv s="0">
    <fb>39.170999999999999</fb>
    <v>1</v>
  </rv>
  <rv s="0">
    <fb>139.09</fb>
    <v>1</v>
  </rv>
  <rv s="0">
    <fb>226.77</fb>
    <v>1</v>
  </rv>
  <rv s="0">
    <fb>158.32</fb>
    <v>1</v>
  </rv>
  <rv s="0">
    <fb>217.61</fb>
    <v>1</v>
  </rv>
  <rv s="0">
    <fb>125.3</fb>
    <v>1</v>
  </rv>
  <rv s="0">
    <fb>45083</fb>
    <v>0</v>
  </rv>
  <rv s="0">
    <fb>179.21</fb>
    <v>1</v>
  </rv>
  <rv s="0">
    <fb>333.68</fb>
    <v>1</v>
  </rv>
  <rv s="0">
    <fb>127.31</fb>
    <v>1</v>
  </rv>
  <rv s="0">
    <fb>271.12</fb>
    <v>1</v>
  </rv>
  <rv s="0">
    <fb>38.654000000000003</fb>
    <v>1</v>
  </rv>
  <rv s="0">
    <fb>139.34</fb>
    <v>1</v>
  </rv>
  <rv s="0">
    <fb>228.22</fb>
    <v>1</v>
  </rv>
  <rv s="0">
    <fb>158.18</fb>
    <v>1</v>
  </rv>
  <rv s="0">
    <fb>221.31</fb>
    <v>1</v>
  </rv>
  <rv s="0">
    <fb>126.61</fb>
    <v>1</v>
  </rv>
  <rv s="0">
    <fb>45084</fb>
    <v>0</v>
  </rv>
  <rv s="0">
    <fb>177.82</fb>
    <v>1</v>
  </rv>
  <rv s="0">
    <fb>323.38</fb>
    <v>1</v>
  </rv>
  <rv s="0">
    <fb>122.5</fb>
    <v>1</v>
  </rv>
  <rv s="0">
    <fb>263.60000000000002</fb>
    <v>1</v>
  </rv>
  <rv s="0">
    <fb>37.475000000000001</fb>
    <v>1</v>
  </rv>
  <rv s="0">
    <fb>140.69</fb>
    <v>1</v>
  </rv>
  <rv s="0">
    <fb>225.27</fb>
    <v>1</v>
  </rv>
  <rv s="0">
    <fb>158.52000000000001</fb>
    <v>1</v>
  </rv>
  <rv s="0">
    <fb>224.57</fb>
    <v>1</v>
  </rv>
  <rv s="0">
    <fb>121.23</fb>
    <v>1</v>
  </rv>
  <rv s="0">
    <fb>45085</fb>
    <v>0</v>
  </rv>
  <rv s="0">
    <fb>180.57</fb>
    <v>1</v>
  </rv>
  <rv s="0">
    <fb>325.26</fb>
    <v>1</v>
  </rv>
  <rv s="0">
    <fb>122.14</fb>
    <v>1</v>
  </rv>
  <rv s="0">
    <fb>264.58</fb>
    <v>1</v>
  </rv>
  <rv s="0">
    <fb>38.51</fb>
    <v>1</v>
  </rv>
  <rv s="0">
    <fb>223.05</fb>
    <v>1</v>
  </rv>
  <rv s="0">
    <fb>160.26</fb>
    <v>1</v>
  </rv>
  <rv s="0">
    <fb>234.86</fb>
    <v>1</v>
  </rv>
  <rv s="0">
    <fb>45086</fb>
    <v>0</v>
  </rv>
  <rv s="0">
    <fb>180.96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141.01</fb>
    <v>1</v>
  </rv>
  <rv s="0">
    <fb>160.01</fb>
    <v>1</v>
  </rv>
  <rv s="0">
    <fb>244.4</fb>
    <v>1</v>
  </rv>
  <rv s="0">
    <fb>123.43</fb>
    <v>1</v>
  </rv>
  <rv s="0">
    <fb>45089</fb>
    <v>0</v>
  </rv>
  <rv s="0">
    <fb>183.79</fb>
    <v>1</v>
  </rv>
  <rv s="0">
    <fb>331.85</fb>
    <v>1</v>
  </rv>
  <rv s="0">
    <fb>123.64</fb>
    <v>1</v>
  </rv>
  <rv s="0">
    <fb>271.05</fb>
    <v>1</v>
  </rv>
  <rv s="0">
    <fb>39.481999999999999</fb>
    <v>1</v>
  </rv>
  <rv s="0">
    <fb>141</fb>
    <v>1</v>
  </rv>
  <rv s="0">
    <fb>226.17</fb>
    <v>1</v>
  </rv>
  <rv s="0">
    <fb>159.9</fb>
    <v>1</v>
  </rv>
  <rv s="0">
    <fb>249.83</fb>
    <v>1</v>
  </rv>
  <rv s="0">
    <fb>126.57</fb>
    <v>1</v>
  </rv>
  <rv s="0">
    <fb>45090</fb>
    <v>0</v>
  </rv>
  <rv s="0">
    <fb>183.31</fb>
    <v>1</v>
  </rv>
  <rv s="0">
    <fb>334.29</fb>
    <v>1</v>
  </rv>
  <rv s="0">
    <fb>123.83</fb>
    <v>1</v>
  </rv>
  <rv s="0">
    <fb>41.021999999999998</fb>
    <v>1</v>
  </rv>
  <rv s="0">
    <fb>142.02000000000001</fb>
    <v>1</v>
  </rv>
  <rv s="0">
    <fb>223.4</fb>
    <v>1</v>
  </rv>
  <rv s="0">
    <fb>160.74</fb>
    <v>1</v>
  </rv>
  <rv s="0">
    <fb>258.70999999999998</fb>
    <v>1</v>
  </rv>
  <rv s="0">
    <fb>126.66</fb>
    <v>1</v>
  </rv>
  <rv s="0">
    <fb>45091</fb>
    <v>0</v>
  </rv>
  <rv s="0">
    <fb>183.95</fb>
    <v>1</v>
  </rv>
  <rv s="0">
    <fb>337.34</fb>
    <v>1</v>
  </rv>
  <rv s="0">
    <fb>273.35000000000002</fb>
    <v>1</v>
  </rv>
  <rv s="0">
    <fb>42.997</fb>
    <v>1</v>
  </rv>
  <rv s="0">
    <fb>141.49</fb>
    <v>1</v>
  </rv>
  <rv s="0">
    <fb>223.44</fb>
    <v>1</v>
  </rv>
  <rv s="0">
    <fb>161.56</fb>
    <v>1</v>
  </rv>
  <rv s="0">
    <fb>256.79000000000002</fb>
    <v>1</v>
  </rv>
  <rv s="0">
    <fb>126.42</fb>
    <v>1</v>
  </rv>
  <rv s="0">
    <fb>45092</fb>
    <v>0</v>
  </rv>
  <rv s="0">
    <fb>186.01</fb>
    <v>1</v>
  </rv>
  <rv s="0">
    <fb>348.1</fb>
    <v>1</v>
  </rv>
  <rv s="0">
    <fb>125.09</fb>
    <v>1</v>
  </rv>
  <rv s="0">
    <fb>281.83</fb>
    <v>1</v>
  </rv>
  <rv s="0">
    <fb>42.652999999999999</fb>
    <v>1</v>
  </rv>
  <rv s="0">
    <fb>143.09</fb>
    <v>1</v>
  </rv>
  <rv s="0">
    <fb>163.72999999999999</fb>
    <v>1</v>
  </rv>
  <rv s="0">
    <fb>255.9</fb>
    <v>1</v>
  </rv>
  <rv s="0">
    <fb>127.11</fb>
    <v>1</v>
  </rv>
  <rv s="0">
    <fb>45093</fb>
    <v>0</v>
  </rv>
  <rv s="0">
    <fb>184.92</fb>
    <v>1</v>
  </rv>
  <rv s="0">
    <fb>342.33</fb>
    <v>1</v>
  </rv>
  <rv s="0">
    <fb>123.53</fb>
    <v>1</v>
  </rv>
  <rv s="0">
    <fb>281</fb>
    <v>1</v>
  </rv>
  <rv s="0">
    <fb>42.692</fb>
    <v>1</v>
  </rv>
  <rv s="0">
    <fb>143.26</fb>
    <v>1</v>
  </rv>
  <rv s="0">
    <fb>228.91</fb>
    <v>1</v>
  </rv>
  <rv s="0">
    <fb>164.23</fb>
    <v>1</v>
  </rv>
  <rv s="0">
    <fb>260.54000000000002</fb>
    <v>1</v>
  </rv>
  <rv s="0">
    <fb>125.49</fb>
    <v>1</v>
  </rv>
  <rv s="0">
    <fb>45097</fb>
    <v>0</v>
  </rv>
  <rv s="0">
    <fb>185.01</fb>
    <v>1</v>
  </rv>
  <rv s="0">
    <fb>338.05</fb>
    <v>1</v>
  </rv>
  <rv s="0">
    <fb>123.1</fb>
    <v>1</v>
  </rv>
  <rv s="0">
    <fb>284.33</fb>
    <v>1</v>
  </rv>
  <rv s="0">
    <fb>43.808</fb>
    <v>1</v>
  </rv>
  <rv s="0">
    <fb>226.47</fb>
    <v>1</v>
  </rv>
  <rv s="0">
    <fb>164.13</fb>
    <v>1</v>
  </rv>
  <rv s="0">
    <fb>274.45</fb>
    <v>1</v>
  </rv>
  <rv s="0">
    <fb>125.78</fb>
    <v>1</v>
  </rv>
  <rv s="0">
    <fb>45098</fb>
    <v>0</v>
  </rv>
  <rv s="0">
    <fb>183.96</fb>
    <v>1</v>
  </rv>
  <rv s="0">
    <fb>333.56</fb>
    <v>1</v>
  </rv>
  <rv s="0">
    <fb>120.55</fb>
    <v>1</v>
  </rv>
  <rv s="0">
    <fb>281.64</fb>
    <v>1</v>
  </rv>
  <rv s="0">
    <fb>43.045000000000002</fb>
    <v>1</v>
  </rv>
  <rv s="0">
    <fb>142.32</fb>
    <v>1</v>
  </rv>
  <rv s="0">
    <fb>227.25</fb>
    <v>1</v>
  </rv>
  <rv s="0">
    <fb>163.88</fb>
    <v>1</v>
  </rv>
  <rv s="0">
    <fb>259.45999999999998</fb>
    <v>1</v>
  </rv>
  <rv s="0">
    <fb>124.83</fb>
    <v>1</v>
  </rv>
  <rv s="0">
    <fb>45099</fb>
    <v>0</v>
  </rv>
  <rv s="0">
    <fb>187</fb>
    <v>1</v>
  </rv>
  <rv s="0">
    <fb>339.71</fb>
    <v>1</v>
  </rv>
  <rv s="0">
    <fb>123.15</fb>
    <v>1</v>
  </rv>
  <rv s="0">
    <fb>284.88</fb>
    <v>1</v>
  </rv>
  <rv s="0">
    <fb>43.024999999999999</fb>
    <v>1</v>
  </rv>
  <rv s="0">
    <fb>139.58000000000001</fb>
    <v>1</v>
  </rv>
  <rv s="0">
    <fb>228.39</fb>
    <v>1</v>
  </rv>
  <rv s="0">
    <fb>165.62</fb>
    <v>1</v>
  </rv>
  <rv s="0">
    <fb>264.61</fb>
    <v>1</v>
  </rv>
  <rv s="0">
    <fb>45100</fb>
    <v>0</v>
  </rv>
  <rv s="0">
    <fb>186.68</fb>
    <v>1</v>
  </rv>
  <rv s="0">
    <fb>335.02</fb>
    <v>1</v>
  </rv>
  <rv s="0">
    <fb>122.34</fb>
    <v>1</v>
  </rv>
  <rv s="0">
    <fb>288.73</fb>
    <v>1</v>
  </rv>
  <rv s="0">
    <fb>42.209000000000003</fb>
    <v>1</v>
  </rv>
  <rv s="0">
    <fb>138.85</fb>
    <v>1</v>
  </rv>
  <rv s="0">
    <fb>229.55</fb>
    <v>1</v>
  </rv>
  <rv s="0">
    <fb>165.48</fb>
    <v>1</v>
  </rv>
  <rv s="0">
    <fb>256.60000000000002</fb>
    <v>1</v>
  </rv>
  <rv s="0">
    <fb>129.33000000000001</fb>
    <v>1</v>
  </rv>
  <rv s="0">
    <fb>45103</fb>
    <v>0</v>
  </rv>
  <rv s="0">
    <fb>185.27</fb>
    <v>1</v>
  </rv>
  <rv s="0">
    <fb>328.6</fb>
    <v>1</v>
  </rv>
  <rv s="0">
    <fb>118.34</fb>
    <v>1</v>
  </rv>
  <rv s="0">
    <fb>278.47000000000003</fb>
    <v>1</v>
  </rv>
  <rv s="0">
    <fb>40.631999999999998</fb>
    <v>1</v>
  </rv>
  <rv s="0">
    <fb>139.19</fb>
    <v>1</v>
  </rv>
  <rv s="0">
    <fb>226.3</fb>
    <v>1</v>
  </rv>
  <rv s="0">
    <fb>163.63</fb>
    <v>1</v>
  </rv>
  <rv s="0">
    <fb>241.05</fb>
    <v>1</v>
  </rv>
  <rv s="0">
    <fb>127.33</fb>
    <v>1</v>
  </rv>
  <rv s="0">
    <fb>45104</fb>
    <v>0</v>
  </rv>
  <rv s="0">
    <fb>188.06</fb>
    <v>1</v>
  </rv>
  <rv s="0">
    <fb>334.57</fb>
    <v>1</v>
  </rv>
  <rv s="0">
    <fb>118.33</fb>
    <v>1</v>
  </rv>
  <rv s="0">
    <fb>287.05</fb>
    <v>1</v>
  </rv>
  <rv s="0">
    <fb>41.875999999999998</fb>
    <v>1</v>
  </rv>
  <rv s="0">
    <fb>139.19999999999999</fb>
    <v>1</v>
  </rv>
  <rv s="0">
    <fb>227.34</fb>
    <v>1</v>
  </rv>
  <rv s="0">
    <fb>163.29</fb>
    <v>1</v>
  </rv>
  <rv s="0">
    <fb>250.21</fb>
    <v>1</v>
  </rv>
  <rv s="0">
    <fb>129.18</fb>
    <v>1</v>
  </rv>
  <rv s="0">
    <fb>45105</fb>
    <v>0</v>
  </rv>
  <rv s="0">
    <fb>189.25</fb>
    <v>1</v>
  </rv>
  <rv s="0">
    <fb>335.85</fb>
    <v>1</v>
  </rv>
  <rv s="0">
    <fb>120.18</fb>
    <v>1</v>
  </rv>
  <rv s="0">
    <fb>285.29000000000002</fb>
    <v>1</v>
  </rv>
  <rv s="0">
    <fb>41.116999999999997</fb>
    <v>1</v>
  </rv>
  <rv s="0">
    <fb>138.59</fb>
    <v>1</v>
  </rv>
  <rv s="0">
    <fb>227.96</fb>
    <v>1</v>
  </rv>
  <rv s="0">
    <fb>162.96</fb>
    <v>1</v>
  </rv>
  <rv s="0">
    <fb>256.24</fb>
    <v>1</v>
  </rv>
  <rv s="0">
    <fb>129.04</fb>
    <v>1</v>
  </rv>
  <rv s="0">
    <fb>45106</fb>
    <v>0</v>
  </rv>
  <rv s="0">
    <fb>189.59</fb>
    <v>1</v>
  </rv>
  <rv s="0">
    <fb>335.05</fb>
    <v>1</v>
  </rv>
  <rv s="0">
    <fb>119.1</fb>
    <v>1</v>
  </rv>
  <rv s="0">
    <fb>281.52999999999997</fb>
    <v>1</v>
  </rv>
  <rv s="0">
    <fb>40.822000000000003</fb>
    <v>1</v>
  </rv>
  <rv s="0">
    <fb>143.43</fb>
    <v>1</v>
  </rv>
  <rv s="0">
    <fb>234.32</fb>
    <v>1</v>
  </rv>
  <rv s="0">
    <fb>164.1</fb>
    <v>1</v>
  </rv>
  <rv s="0">
    <fb>257.5</fb>
    <v>1</v>
  </rv>
  <rv s="0">
    <fb>127.9</fb>
    <v>1</v>
  </rv>
  <rv s="0">
    <fb>45107</fb>
    <v>0</v>
  </rv>
  <rv s="0">
    <fb>193.97</fb>
    <v>1</v>
  </rv>
  <rv s="0">
    <fb>340.54</fb>
    <v>1</v>
  </rv>
  <rv s="0">
    <fb>119.7</fb>
    <v>1</v>
  </rv>
  <rv s="0">
    <fb>286.98</fb>
    <v>1</v>
  </rv>
  <rv s="0">
    <fb>42.302</fb>
    <v>1</v>
  </rv>
  <rv s="0">
    <fb>145.44</fb>
    <v>1</v>
  </rv>
  <rv s="0">
    <fb>237.48</fb>
    <v>1</v>
  </rv>
  <rv s="0">
    <fb>165.52</fb>
    <v>1</v>
  </rv>
  <rv s="0">
    <fb>261.77</fb>
    <v>1</v>
  </rv>
  <rv s="0">
    <fb>130.36000000000001</fb>
    <v>1</v>
  </rv>
  <rv s="0">
    <fb>45110</fb>
    <v>0</v>
  </rv>
  <rv s="0">
    <fb>192.46</fb>
    <v>1</v>
  </rv>
  <rv s="0">
    <fb>337.99</fb>
    <v>1</v>
  </rv>
  <rv s="0">
    <fb>119.9</fb>
    <v>1</v>
  </rv>
  <rv s="0">
    <fb>286.02</fb>
    <v>1</v>
  </rv>
  <rv s="0">
    <fb>42.412999999999997</fb>
    <v>1</v>
  </rv>
  <rv s="0">
    <fb>146.61000000000001</fb>
    <v>1</v>
  </rv>
  <rv s="0">
    <fb>237.97</fb>
    <v>1</v>
  </rv>
  <rv s="0">
    <fb>163.35</fb>
    <v>1</v>
  </rv>
  <rv s="0">
    <fb>279.82</fb>
    <v>1</v>
  </rv>
  <rv s="0">
    <fb>130.22</fb>
    <v>1</v>
  </rv>
  <rv s="0">
    <fb>45112</fb>
    <v>0</v>
  </rv>
  <rv s="0">
    <fb>191.33</fb>
    <v>1</v>
  </rv>
  <rv s="0">
    <fb>338.15</fb>
    <v>1</v>
  </rv>
  <rv s="0">
    <fb>121.75</fb>
    <v>1</v>
  </rv>
  <rv s="0">
    <fb>294.37</fb>
    <v>1</v>
  </rv>
  <rv s="0">
    <fb>42.317</fb>
    <v>1</v>
  </rv>
  <rv s="0">
    <fb>144.63999999999999</fb>
    <v>1</v>
  </rv>
  <rv s="0">
    <fb>239.45</fb>
    <v>1</v>
  </rv>
  <rv s="0">
    <fb>162.81</fb>
    <v>1</v>
  </rv>
  <rv s="0">
    <fb>282.48</fb>
    <v>1</v>
  </rv>
  <rv s="0">
    <fb>130.38</fb>
    <v>1</v>
  </rv>
  <rv s="0">
    <fb>45113</fb>
    <v>0</v>
  </rv>
  <rv s="0">
    <fb>341.27</fb>
    <v>1</v>
  </rv>
  <rv s="0">
    <fb>291.99</fb>
    <v>1</v>
  </rv>
  <rv s="0">
    <fb>42.103000000000002</fb>
    <v>1</v>
  </rv>
  <rv s="0">
    <fb>143.21</fb>
    <v>1</v>
  </rv>
  <rv s="0">
    <fb>238.88</fb>
    <v>1</v>
  </rv>
  <rv s="0">
    <fb>161.6</fb>
    <v>1</v>
  </rv>
  <rv s="0">
    <fb>276.54000000000002</fb>
    <v>1</v>
  </rv>
  <rv s="0">
    <fb>128.36000000000001</fb>
    <v>1</v>
  </rv>
  <rv s="0">
    <fb>45114</fb>
    <v>0</v>
  </rv>
  <rv s="0">
    <fb>190.68</fb>
    <v>1</v>
  </rv>
  <rv s="0">
    <fb>337.22</fb>
    <v>1</v>
  </rv>
  <rv s="0">
    <fb>119.48</fb>
    <v>1</v>
  </rv>
  <rv s="0">
    <fb>290.52999999999997</fb>
    <v>1</v>
  </rv>
  <rv s="0">
    <fb>42.503</fb>
    <v>1</v>
  </rv>
  <rv s="0">
    <fb>144.34</fb>
    <v>1</v>
  </rv>
  <rv s="0">
    <fb>236.45</fb>
    <v>1</v>
  </rv>
  <rv s="0">
    <fb>159.25</fb>
    <v>1</v>
  </rv>
  <rv s="0">
    <fb>274.43</fb>
    <v>1</v>
  </rv>
  <rv s="0">
    <fb>129.78</fb>
    <v>1</v>
  </rv>
  <rv s="0">
    <fb>45117</fb>
    <v>0</v>
  </rv>
  <rv s="0">
    <fb>188.61</fb>
    <v>1</v>
  </rv>
  <rv s="0">
    <fb>331.83</fb>
    <v>1</v>
  </rv>
  <rv s="0">
    <fb>116.45</fb>
    <v>1</v>
  </rv>
  <rv s="0">
    <fb>294.10000000000002</fb>
    <v>1</v>
  </rv>
  <rv s="0">
    <fb>42.18</fb>
    <v>1</v>
  </rv>
  <rv s="0">
    <fb>145.15</fb>
    <v>1</v>
  </rv>
  <rv s="0">
    <fb>238.16</fb>
    <v>1</v>
  </rv>
  <rv s="0">
    <fb>159.51</fb>
    <v>1</v>
  </rv>
  <rv s="0">
    <fb>269.61</fb>
    <v>1</v>
  </rv>
  <rv s="0">
    <fb>127.13</fb>
    <v>1</v>
  </rv>
  <rv s="0">
    <fb>45118</fb>
    <v>0</v>
  </rv>
  <rv s="0">
    <fb>188.08</fb>
    <v>1</v>
  </rv>
  <rv s="0">
    <fb>332.47</fb>
    <v>1</v>
  </rv>
  <rv s="0">
    <fb>117.14</fb>
    <v>1</v>
  </rv>
  <rv s="0">
    <fb>298.29000000000002</fb>
    <v>1</v>
  </rv>
  <rv s="0">
    <fb>42.405000000000001</fb>
    <v>1</v>
  </rv>
  <rv s="0">
    <fb>147.41999999999999</fb>
    <v>1</v>
  </rv>
  <rv s="0">
    <fb>240.55</fb>
    <v>1</v>
  </rv>
  <rv s="0">
    <fb>158.63</fb>
    <v>1</v>
  </rv>
  <rv s="0">
    <fb>269.79000000000002</fb>
    <v>1</v>
  </rv>
  <rv s="0">
    <fb>45119</fb>
    <v>0</v>
  </rv>
  <rv s="0">
    <fb>189.77</fb>
    <v>1</v>
  </rv>
  <rv s="0">
    <fb>337.2</fb>
    <v>1</v>
  </rv>
  <rv s="0">
    <fb>118.93</fb>
    <v>1</v>
  </rv>
  <rv s="0">
    <fb>309.33999999999997</fb>
    <v>1</v>
  </rv>
  <rv s="0">
    <fb>43.902000000000001</fb>
    <v>1</v>
  </rv>
  <rv s="0">
    <fb>148.15</fb>
    <v>1</v>
  </rv>
  <rv s="0">
    <fb>242.21</fb>
    <v>1</v>
  </rv>
  <rv s="0">
    <fb>158.08000000000001</fb>
    <v>1</v>
  </rv>
  <rv s="0">
    <fb>271.99</fb>
    <v>1</v>
  </rv>
  <rv s="0">
    <fb>130.80000000000001</fb>
    <v>1</v>
  </rv>
  <rv s="0">
    <fb>45120</fb>
    <v>0</v>
  </rv>
  <rv s="0">
    <fb>190.54</fb>
    <v>1</v>
  </rv>
  <rv s="0">
    <fb>342.66</fb>
    <v>1</v>
  </rv>
  <rv s="0">
    <fb>124.54</fb>
    <v>1</v>
  </rv>
  <rv s="0">
    <fb>313.41000000000003</fb>
    <v>1</v>
  </rv>
  <rv s="0">
    <fb>45.976999999999997</fb>
    <v>1</v>
  </rv>
  <rv s="0">
    <fb>148.87</fb>
    <v>1</v>
  </rv>
  <rv s="0">
    <fb>243.31</fb>
    <v>1</v>
  </rv>
  <rv s="0">
    <fb>158.81</fb>
    <v>1</v>
  </rv>
  <rv s="0">
    <fb>277.89999999999998</fb>
    <v>1</v>
  </rv>
  <rv s="0">
    <fb>134.30000000000001</fb>
    <v>1</v>
  </rv>
  <rv s="0">
    <fb>45121</fb>
    <v>0</v>
  </rv>
  <rv s="0">
    <fb>190.69</fb>
    <v>1</v>
  </rv>
  <rv s="0">
    <fb>345.24</fb>
    <v>1</v>
  </rv>
  <rv s="0">
    <fb>125.42</fb>
    <v>1</v>
  </rv>
  <rv s="0">
    <fb>308.87</fb>
    <v>1</v>
  </rv>
  <rv s="0">
    <fb>45.469000000000001</fb>
    <v>1</v>
  </rv>
  <rv s="0">
    <fb>149.77000000000001</fb>
    <v>1</v>
  </rv>
  <rv s="0">
    <fb>243.16</fb>
    <v>1</v>
  </rv>
  <rv s="0">
    <fb>159.87</fb>
    <v>1</v>
  </rv>
  <rv s="0">
    <fb>281.38</fb>
    <v>1</v>
  </rv>
  <rv s="0">
    <fb>134.68</fb>
    <v>1</v>
  </rv>
  <rv s="0">
    <fb>45124</fb>
    <v>0</v>
  </rv>
  <rv s="0">
    <fb>193.99</fb>
    <v>1</v>
  </rv>
  <rv s="0">
    <fb>345.73</fb>
    <v>1</v>
  </rv>
  <rv s="0">
    <fb>124.65</fb>
    <v>1</v>
  </rv>
  <rv s="0">
    <fb>310.62</fb>
    <v>1</v>
  </rv>
  <rv s="0">
    <fb>46.460999999999999</fb>
    <v>1</v>
  </rv>
  <rv s="0">
    <fb>153.38</fb>
    <v>1</v>
  </rv>
  <rv s="0">
    <fb>243.99</fb>
    <v>1</v>
  </rv>
  <rv s="0">
    <fb>159.07</fb>
    <v>1</v>
  </rv>
  <rv s="0">
    <fb>290.38</fb>
    <v>1</v>
  </rv>
  <rv s="0">
    <fb>133.56</fb>
    <v>1</v>
  </rv>
  <rv s="0">
    <fb>45125</fb>
    <v>0</v>
  </rv>
  <rv s="0">
    <fb>193.73</fb>
    <v>1</v>
  </rv>
  <rv s="0">
    <fb>359.49</fb>
    <v>1</v>
  </rv>
  <rv s="0">
    <fb>123.76</fb>
    <v>1</v>
  </rv>
  <rv s="0">
    <fb>312.05</fb>
    <v>1</v>
  </rv>
  <rv s="0">
    <fb>47.494</fb>
    <v>1</v>
  </rv>
  <rv s="0">
    <fb>153.66</fb>
    <v>1</v>
  </rv>
  <rv s="0">
    <fb>240.77</fb>
    <v>1</v>
  </rv>
  <rv s="0">
    <fb>159.06</fb>
    <v>1</v>
  </rv>
  <rv s="0">
    <fb>293.33999999999997</fb>
    <v>1</v>
  </rv>
  <rv s="0">
    <fb>132.83000000000001</fb>
    <v>1</v>
  </rv>
  <rv s="0">
    <fb>45126</fb>
    <v>0</v>
  </rv>
  <rv s="0">
    <fb>195.1</fb>
    <v>1</v>
  </rv>
  <rv s="0">
    <fb>355.08</fb>
    <v>1</v>
  </rv>
  <rv s="0">
    <fb>122.03</fb>
    <v>1</v>
  </rv>
  <rv s="0">
    <fb>316.01</fb>
    <v>1</v>
  </rv>
  <rv s="0">
    <fb>47.076999999999998</fb>
    <v>1</v>
  </rv>
  <rv s="0">
    <fb>154.25</fb>
    <v>1</v>
  </rv>
  <rv s="0">
    <fb>241.42</fb>
    <v>1</v>
  </rv>
  <rv s="0">
    <fb>158.74</fb>
    <v>1</v>
  </rv>
  <rv s="0">
    <fb>291.26</fb>
    <v>1</v>
  </rv>
  <rv s="0">
    <fb>45127</fb>
    <v>0</v>
  </rv>
  <rv s="0">
    <fb>193.13</fb>
    <v>1</v>
  </rv>
  <rv s="0">
    <fb>346.87</fb>
    <v>1</v>
  </rv>
  <rv s="0">
    <fb>119.2</fb>
    <v>1</v>
  </rv>
  <rv s="0">
    <fb>302.52</fb>
    <v>1</v>
  </rv>
  <rv s="0">
    <fb>45.52</fb>
    <v>1</v>
  </rv>
  <rv s="0">
    <fb>156.15</fb>
    <v>1</v>
  </rv>
  <rv s="0">
    <fb>239.62</fb>
    <v>1</v>
  </rv>
  <rv s="0">
    <fb>168.38</fb>
    <v>1</v>
  </rv>
  <rv s="0">
    <fb>262.89999999999998</fb>
    <v>1</v>
  </rv>
  <rv s="0">
    <fb>129.96</fb>
    <v>1</v>
  </rv>
  <rv s="0">
    <fb>45128</fb>
    <v>0</v>
  </rv>
  <rv s="0">
    <fb>191.94</fb>
    <v>1</v>
  </rv>
  <rv s="0">
    <fb>343.77</fb>
    <v>1</v>
  </rv>
  <rv s="0">
    <fb>120.02</fb>
    <v>1</v>
  </rv>
  <rv s="0">
    <fb>294.26</fb>
    <v>1</v>
  </rv>
  <rv s="0">
    <fb>44.308999999999997</fb>
    <v>1</v>
  </rv>
  <rv s="0">
    <fb>154.94999999999999</fb>
    <v>1</v>
  </rv>
  <rv s="0">
    <fb>239.25</fb>
    <v>1</v>
  </rv>
  <rv s="0">
    <fb>170.19</fb>
    <v>1</v>
  </rv>
  <rv s="0">
    <fb>260.02</fb>
    <v>1</v>
  </rv>
  <rv s="0">
    <fb>130</fb>
    <v>1</v>
  </rv>
  <rv s="0">
    <fb>45131</fb>
    <v>0</v>
  </rv>
  <rv s="0">
    <fb>192.75</fb>
    <v>1</v>
  </rv>
  <rv s="0">
    <fb>345.11</fb>
    <v>1</v>
  </rv>
  <rv s="0">
    <fb>121.53</fb>
    <v>1</v>
  </rv>
  <rv s="0">
    <fb>291.61</fb>
    <v>1</v>
  </rv>
  <rv s="0">
    <fb>44.612000000000002</fb>
    <v>1</v>
  </rv>
  <rv s="0">
    <fb>240.74</fb>
    <v>1</v>
  </rv>
  <rv s="0">
    <fb>171.08</fb>
    <v>1</v>
  </rv>
  <rv s="0">
    <fb>269.06</fb>
    <v>1</v>
  </rv>
  <rv s="0">
    <fb>128.80000000000001</fb>
    <v>1</v>
  </rv>
  <rv s="0">
    <fb>45132</fb>
    <v>0</v>
  </rv>
  <rv s="0">
    <fb>193.62</fb>
    <v>1</v>
  </rv>
  <rv s="0">
    <fb>350.98</fb>
    <v>1</v>
  </rv>
  <rv s="0">
    <fb>122.21</fb>
    <v>1</v>
  </rv>
  <rv s="0">
    <fb>294.47000000000003</fb>
    <v>1</v>
  </rv>
  <rv s="0">
    <fb>45.679000000000002</fb>
    <v>1</v>
  </rv>
  <rv s="0">
    <fb>156.82</fb>
    <v>1</v>
  </rv>
  <rv s="0">
    <fb>238.69</fb>
    <v>1</v>
  </rv>
  <rv s="0">
    <fb>172.39</fb>
    <v>1</v>
  </rv>
  <rv s="0">
    <fb>265.27999999999997</fb>
    <v>1</v>
  </rv>
  <rv s="0">
    <fb>129.13</fb>
    <v>1</v>
  </rv>
  <rv s="0">
    <fb>45133</fb>
    <v>0</v>
  </rv>
  <rv s="0">
    <fb>194.5</fb>
    <v>1</v>
  </rv>
  <rv s="0">
    <fb>337.77</fb>
    <v>1</v>
  </rv>
  <rv s="0">
    <fb>129.27000000000001</fb>
    <v>1</v>
  </rv>
  <rv s="0">
    <fb>298.57</fb>
    <v>1</v>
  </rv>
  <rv s="0">
    <fb>45.451999999999998</fb>
    <v>1</v>
  </rv>
  <rv s="0">
    <fb>157.76</fb>
    <v>1</v>
  </rv>
  <rv s="0">
    <fb>237.1</fb>
    <v>1</v>
  </rv>
  <rv s="0">
    <fb>172.72</fb>
    <v>1</v>
  </rv>
  <rv s="0">
    <fb>264.35000000000002</fb>
    <v>1</v>
  </rv>
  <rv s="0">
    <fb>128.15</fb>
    <v>1</v>
  </rv>
  <rv s="0">
    <fb>45134</fb>
    <v>0</v>
  </rv>
  <rv s="0">
    <fb>193.22</fb>
    <v>1</v>
  </rv>
  <rv s="0">
    <fb>330.72</fb>
    <v>1</v>
  </rv>
  <rv s="0">
    <fb>129.4</fb>
    <v>1</v>
  </rv>
  <rv s="0">
    <fb>311.70999999999998</fb>
    <v>1</v>
  </rv>
  <rv s="0">
    <fb>45.9</fb>
    <v>1</v>
  </rv>
  <rv s="0">
    <fb>156.02000000000001</fb>
    <v>1</v>
  </rv>
  <rv s="0">
    <fb>234.44</fb>
    <v>1</v>
  </rv>
  <rv s="0">
    <fb>173.69</fb>
    <v>1</v>
  </rv>
  <rv s="0">
    <fb>255.71</fb>
    <v>1</v>
  </rv>
  <rv s="0">
    <fb>128.25</fb>
    <v>1</v>
  </rv>
  <rv s="0">
    <fb>45135</fb>
    <v>0</v>
  </rv>
  <rv s="0">
    <fb>195.83</fb>
    <v>1</v>
  </rv>
  <rv s="0">
    <fb>338.37</fb>
    <v>1</v>
  </rv>
  <rv s="0">
    <fb>132.58000000000001</fb>
    <v>1</v>
  </rv>
  <rv s="0">
    <fb>325.48</fb>
    <v>1</v>
  </rv>
  <rv s="0">
    <fb>46.75</fb>
    <v>1</v>
  </rv>
  <rv s="0">
    <fb>156.91</fb>
    <v>1</v>
  </rv>
  <rv s="0">
    <fb>235.75</fb>
    <v>1</v>
  </rv>
  <rv s="0">
    <fb>266.44</fb>
    <v>1</v>
  </rv>
  <rv s="0">
    <fb>132.21</fb>
    <v>1</v>
  </rv>
  <rv s="0">
    <fb>45138</fb>
    <v>0</v>
  </rv>
  <rv s="0">
    <fb>196.45</fb>
    <v>1</v>
  </rv>
  <rv s="0">
    <fb>335.92</fb>
    <v>1</v>
  </rv>
  <rv s="0">
    <fb>132.72</fb>
    <v>1</v>
  </rv>
  <rv s="0">
    <fb>318.60000000000002</fb>
    <v>1</v>
  </rv>
  <rv s="0">
    <fb>46.728999999999999</fb>
    <v>1</v>
  </rv>
  <rv s="0">
    <fb>157.96</fb>
    <v>1</v>
  </rv>
  <rv s="0">
    <fb>237.73</fb>
    <v>1</v>
  </rv>
  <rv s="0">
    <fb>167.53</fb>
    <v>1</v>
  </rv>
  <rv s="0">
    <fb>267.43</fb>
    <v>1</v>
  </rv>
  <rv s="0">
    <fb>133.68</fb>
    <v>1</v>
  </rv>
  <rv s="0">
    <fb>45139</fb>
    <v>0</v>
  </rv>
  <rv s="0">
    <fb>195.60499999999999</fb>
    <v>1</v>
  </rv>
  <rv s="0">
    <fb>336.34</fb>
    <v>1</v>
  </rv>
  <rv s="0">
    <fb>131.55000000000001</fb>
    <v>1</v>
  </rv>
  <rv s="0">
    <fb>322.70999999999998</fb>
    <v>1</v>
  </rv>
  <rv s="0">
    <fb>46.506999999999998</fb>
    <v>1</v>
  </rv>
  <rv s="0">
    <fb>157.18</fb>
    <v>1</v>
  </rv>
  <rv s="0">
    <fb>239.78</fb>
    <v>1</v>
  </rv>
  <rv s="0">
    <fb>261.07</fb>
    <v>1</v>
  </rv>
  <rv s="0">
    <fb>131.69</fb>
    <v>1</v>
  </rv>
  <rv s="0">
    <fb>45140</fb>
    <v>0</v>
  </rv>
  <rv s="0">
    <fb>327.5</fb>
    <v>1</v>
  </rv>
  <rv s="0">
    <fb>128.38</fb>
    <v>1</v>
  </rv>
  <rv s="0">
    <fb>314.31</fb>
    <v>1</v>
  </rv>
  <rv s="0">
    <fb>44.268999999999998</fb>
    <v>1</v>
  </rv>
  <rv s="0">
    <fb>155.4</fb>
    <v>1</v>
  </rv>
  <rv s="0">
    <fb>237.56</fb>
    <v>1</v>
  </rv>
  <rv s="0">
    <fb>169.91</fb>
    <v>1</v>
  </rv>
  <rv s="0">
    <fb>254.11</fb>
    <v>1</v>
  </rv>
  <rv s="0">
    <fb>128.21</fb>
    <v>1</v>
  </rv>
  <rv s="0">
    <fb>45141</fb>
    <v>0</v>
  </rv>
  <rv s="0">
    <fb>191.17</fb>
    <v>1</v>
  </rv>
  <rv s="0">
    <fb>326.66000000000003</fb>
    <v>1</v>
  </rv>
  <rv s="0">
    <fb>128.44999999999999</fb>
    <v>1</v>
  </rv>
  <rv s="0">
    <fb>313.19</fb>
    <v>1</v>
  </rv>
  <rv s="0">
    <fb>44.515000000000001</fb>
    <v>1</v>
  </rv>
  <rv s="0">
    <fb>156.35</fb>
    <v>1</v>
  </rv>
  <rv s="0">
    <fb>238.76</fb>
    <v>1</v>
  </rv>
  <rv s="0">
    <fb>170.64</fb>
    <v>1</v>
  </rv>
  <rv s="0">
    <fb>259.32</fb>
    <v>1</v>
  </rv>
  <rv s="0">
    <fb>128.91</fb>
    <v>1</v>
  </rv>
  <rv s="0">
    <fb>45142</fb>
    <v>0</v>
  </rv>
  <rv s="0">
    <fb>181.99</fb>
    <v>1</v>
  </rv>
  <rv s="0">
    <fb>327.78</fb>
    <v>1</v>
  </rv>
  <rv s="0">
    <fb>128.11000000000001</fb>
    <v>1</v>
  </rv>
  <rv s="0">
    <fb>310.73</fb>
    <v>1</v>
  </rv>
  <rv s="0">
    <fb>44.68</fb>
    <v>1</v>
  </rv>
  <rv s="0">
    <fb>238.99</fb>
    <v>1</v>
  </rv>
  <rv s="0">
    <fb>169.04</fb>
    <v>1</v>
  </rv>
  <rv s="0">
    <fb>253.86</fb>
    <v>1</v>
  </rv>
  <rv s="0">
    <fb>139.57</fb>
    <v>1</v>
  </rv>
  <rv s="0">
    <fb>45145</fb>
    <v>0</v>
  </rv>
  <rv s="0">
    <fb>178.85</fb>
    <v>1</v>
  </rv>
  <rv s="0">
    <fb>330.11</fb>
    <v>1</v>
  </rv>
  <rv s="0">
    <fb>131.53</fb>
    <v>1</v>
  </rv>
  <rv s="0">
    <fb>316.56</fb>
    <v>1</v>
  </rv>
  <rv s="0">
    <fb>45.416499999999999</fb>
    <v>1</v>
  </rv>
  <rv s="0">
    <fb>156.76</fb>
    <v>1</v>
  </rv>
  <rv s="0">
    <fb>241.51</fb>
    <v>1</v>
  </rv>
  <rv s="0">
    <fb>173.1</fb>
    <v>1</v>
  </rv>
  <rv s="0">
    <fb>251.45</fb>
    <v>1</v>
  </rv>
  <rv s="0">
    <fb>142.22</fb>
    <v>1</v>
  </rv>
  <rv s="0">
    <fb>45146</fb>
    <v>0</v>
  </rv>
  <rv s="0">
    <fb>179.8</fb>
    <v>1</v>
  </rv>
  <rv s="0">
    <fb>326.05</fb>
    <v>1</v>
  </rv>
  <rv s="0">
    <fb>131.4</fb>
    <v>1</v>
  </rv>
  <rv s="0">
    <fb>312.64</fb>
    <v>1</v>
  </rv>
  <rv s="0">
    <fb>44.664000000000001</fb>
    <v>1</v>
  </rv>
  <rv s="0">
    <fb>155.88</fb>
    <v>1</v>
  </rv>
  <rv s="0">
    <fb>239.29</fb>
    <v>1</v>
  </rv>
  <rv s="0">
    <fb>173.18</fb>
    <v>1</v>
  </rv>
  <rv s="0">
    <fb>249.7</fb>
    <v>1</v>
  </rv>
  <rv s="0">
    <fb>139.94</fb>
    <v>1</v>
  </rv>
  <rv s="0">
    <fb>45147</fb>
    <v>0</v>
  </rv>
  <rv s="0">
    <fb>322.23</fb>
    <v>1</v>
  </rv>
  <rv s="0">
    <fb>129.66</fb>
    <v>1</v>
  </rv>
  <rv s="0">
    <fb>305.20999999999998</fb>
    <v>1</v>
  </rv>
  <rv s="0">
    <fb>42.554000000000002</fb>
    <v>1</v>
  </rv>
  <rv s="0">
    <fb>153.79</fb>
    <v>1</v>
  </rv>
  <rv s="0">
    <fb>239.76</fb>
    <v>1</v>
  </rv>
  <rv s="0">
    <fb>173.07</fb>
    <v>1</v>
  </rv>
  <rv s="0">
    <fb>242.19</fb>
    <v>1</v>
  </rv>
  <rv s="0">
    <fb>137.85</fb>
    <v>1</v>
  </rv>
  <rv s="0">
    <fb>45148</fb>
    <v>0</v>
  </rv>
  <rv s="0">
    <fb>177.97</fb>
    <v>1</v>
  </rv>
  <rv s="0">
    <fb>322.93</fb>
    <v>1</v>
  </rv>
  <rv s="0">
    <fb>129.69</fb>
    <v>1</v>
  </rv>
  <rv s="0">
    <fb>305.74</fb>
    <v>1</v>
  </rv>
  <rv s="0">
    <fb>42.387999999999998</fb>
    <v>1</v>
  </rv>
  <rv s="0">
    <fb>153.56</fb>
    <v>1</v>
  </rv>
  <rv s="0">
    <fb>240.16</fb>
    <v>1</v>
  </rv>
  <rv s="0">
    <fb>172.17</fb>
    <v>1</v>
  </rv>
  <rv s="0">
    <fb>245.34</fb>
    <v>1</v>
  </rv>
  <rv s="0">
    <fb>45149</fb>
    <v>0</v>
  </rv>
  <rv s="0">
    <fb>177.79</fb>
    <v>1</v>
  </rv>
  <rv s="0">
    <fb>321.01</fb>
    <v>1</v>
  </rv>
  <rv s="0">
    <fb>129.56</fb>
    <v>1</v>
  </rv>
  <rv s="0">
    <fb>301.64</fb>
    <v>1</v>
  </rv>
  <rv s="0">
    <fb>40.854999999999997</fb>
    <v>1</v>
  </rv>
  <rv s="0">
    <fb>154.44999999999999</fb>
    <v>1</v>
  </rv>
  <rv s="0">
    <fb>240.04</fb>
    <v>1</v>
  </rv>
  <rv s="0">
    <fb>173.85</fb>
    <v>1</v>
  </rv>
  <rv s="0">
    <fb>242.65</fb>
    <v>1</v>
  </rv>
  <rv s="0">
    <fb>138.41</fb>
    <v>1</v>
  </rv>
  <rv s="0">
    <fb>45152</fb>
    <v>0</v>
  </rv>
  <rv s="0">
    <fb>179.46</fb>
    <v>1</v>
  </rv>
  <rv s="0">
    <fb>324.04000000000002</fb>
    <v>1</v>
  </rv>
  <rv s="0">
    <fb>131.33000000000001</fb>
    <v>1</v>
  </rv>
  <rv s="0">
    <fb>306.19</fb>
    <v>1</v>
  </rv>
  <rv s="0">
    <fb>43.753</fb>
    <v>1</v>
  </rv>
  <rv s="0">
    <fb>154.77000000000001</fb>
    <v>1</v>
  </rv>
  <rv s="0">
    <fb>242.9</fb>
    <v>1</v>
  </rv>
  <rv s="0">
    <fb>140.57</fb>
    <v>1</v>
  </rv>
  <rv s="0">
    <fb>45153</fb>
    <v>0</v>
  </rv>
  <rv s="0">
    <fb>177.45</fb>
    <v>1</v>
  </rv>
  <rv s="0">
    <fb>321.86</fb>
    <v>1</v>
  </rv>
  <rv s="0">
    <fb>301.95</fb>
    <v>1</v>
  </rv>
  <rv s="0">
    <fb>43.94</fb>
    <v>1</v>
  </rv>
  <rv s="0">
    <fb>150.83000000000001</fb>
    <v>1</v>
  </rv>
  <rv s="0">
    <fb>239.83</fb>
    <v>1</v>
  </rv>
  <rv s="0">
    <fb>172.94</fb>
    <v>1</v>
  </rv>
  <rv s="0">
    <fb>232.96</fb>
    <v>1</v>
  </rv>
  <rv s="0">
    <fb>45154</fb>
    <v>0</v>
  </rv>
  <rv s="0">
    <fb>176.57</fb>
    <v>1</v>
  </rv>
  <rv s="0">
    <fb>320.39999999999998</fb>
    <v>1</v>
  </rv>
  <rv s="0">
    <fb>128.69999999999999</fb>
    <v>1</v>
  </rv>
  <rv s="0">
    <fb>294.29000000000002</fb>
    <v>1</v>
  </rv>
  <rv s="0">
    <fb>43.485999999999997</fb>
    <v>1</v>
  </rv>
  <rv s="0">
    <fb>150.19</fb>
    <v>1</v>
  </rv>
  <rv s="0">
    <fb>135.07</fb>
    <v>1</v>
  </rv>
  <rv s="0">
    <fb>45155</fb>
    <v>0</v>
  </rv>
  <rv s="0">
    <fb>316.88</fb>
    <v>1</v>
  </rv>
  <rv s="0">
    <fb>129.91999999999999</fb>
    <v>1</v>
  </rv>
  <rv s="0">
    <fb>285.08999999999997</fb>
    <v>1</v>
  </rv>
  <rv s="0">
    <fb>43.343499999999999</fb>
    <v>1</v>
  </rv>
  <rv s="0">
    <fb>148.63</fb>
    <v>1</v>
  </rv>
  <rv s="0">
    <fb>237.37</fb>
    <v>1</v>
  </rv>
  <rv s="0">
    <fb>174.01</fb>
    <v>1</v>
  </rv>
  <rv s="0">
    <fb>219.22</fb>
    <v>1</v>
  </rv>
  <rv s="0">
    <fb>133.97999999999999</fb>
    <v>1</v>
  </rv>
  <rv s="0">
    <fb>45156</fb>
    <v>0</v>
  </rv>
  <rv s="0">
    <fb>174.49</fb>
    <v>1</v>
  </rv>
  <rv s="0">
    <fb>316.48</fb>
    <v>1</v>
  </rv>
  <rv s="0">
    <fb>127.46</fb>
    <v>1</v>
  </rv>
  <rv s="0">
    <fb>283.25</fb>
    <v>1</v>
  </rv>
  <rv s="0">
    <fb>43.298999999999999</fb>
    <v>1</v>
  </rv>
  <rv s="0">
    <fb>238.17</fb>
    <v>1</v>
  </rv>
  <rv s="0">
    <fb>172.49</fb>
    <v>1</v>
  </rv>
  <rv s="0">
    <fb>215.49</fb>
    <v>1</v>
  </rv>
  <rv s="0">
    <fb>133.22</fb>
    <v>1</v>
  </rv>
  <rv s="0">
    <fb>45159</fb>
    <v>0</v>
  </rv>
  <rv s="0">
    <fb>175.84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149.47999999999999</fb>
    <v>1</v>
  </rv>
  <rv s="0">
    <fb>239.46</fb>
    <v>1</v>
  </rv>
  <rv s="0">
    <fb>167.35</fb>
    <v>1</v>
  </rv>
  <rv s="0">
    <fb>45160</fb>
    <v>0</v>
  </rv>
  <rv s="0">
    <fb>177.23</fb>
    <v>1</v>
  </rv>
  <rv s="0">
    <fb>322.45999999999998</fb>
    <v>1</v>
  </rv>
  <rv s="0">
    <fb>129.08000000000001</fb>
    <v>1</v>
  </rv>
  <rv s="0">
    <fb>287.60000000000002</fb>
    <v>1</v>
  </rv>
  <rv s="0">
    <fb>45.667999999999999</fb>
    <v>1</v>
  </rv>
  <rv s="0">
    <fb>146.38</fb>
    <v>1</v>
  </rv>
  <rv s="0">
    <fb>240.57</fb>
    <v>1</v>
  </rv>
  <rv s="0">
    <fb>166.02</fb>
    <v>1</v>
  </rv>
  <rv s="0">
    <fb>233.19</fb>
    <v>1</v>
  </rv>
  <rv s="0">
    <fb>134.25</fb>
    <v>1</v>
  </rv>
  <rv s="0">
    <fb>45161</fb>
    <v>0</v>
  </rv>
  <rv s="0">
    <fb>181.12</fb>
    <v>1</v>
  </rv>
  <rv s="0">
    <fb>327</fb>
    <v>1</v>
  </rv>
  <rv s="0">
    <fb>132.37</fb>
    <v>1</v>
  </rv>
  <rv s="0">
    <fb>294.24</fb>
    <v>1</v>
  </rv>
  <rv s="0">
    <fb>47.116</fb>
    <v>1</v>
  </rv>
  <rv s="0">
    <fb>147.37</fb>
    <v>1</v>
  </rv>
  <rv s="0">
    <fb>242.3</fb>
    <v>1</v>
  </rv>
  <rv s="0">
    <fb>164.53</fb>
    <v>1</v>
  </rv>
  <rv s="0">
    <fb>236.86</fb>
    <v>1</v>
  </rv>
  <rv s="0">
    <fb>135.52000000000001</fb>
    <v>1</v>
  </rv>
  <rv s="0">
    <fb>45162</fb>
    <v>0</v>
  </rv>
  <rv s="0">
    <fb>176.38</fb>
    <v>1</v>
  </rv>
  <rv s="0">
    <fb>319.97000000000003</fb>
    <v>1</v>
  </rv>
  <rv s="0">
    <fb>286.75</fb>
    <v>1</v>
  </rv>
  <rv s="0">
    <fb>47.162999999999997</fb>
    <v>1</v>
  </rv>
  <rv s="0">
    <fb>147.22999999999999</fb>
    <v>1</v>
  </rv>
  <rv s="0">
    <fb>239.47</fb>
    <v>1</v>
  </rv>
  <rv s="0">
    <fb>165.09</fb>
    <v>1</v>
  </rv>
  <rv s="0">
    <fb>230.04</fb>
    <v>1</v>
  </rv>
  <rv s="0">
    <fb>131.84</fb>
    <v>1</v>
  </rv>
  <rv s="0">
    <fb>45163</fb>
    <v>0</v>
  </rv>
  <rv s="0">
    <fb>178.61</fb>
    <v>1</v>
  </rv>
  <rv s="0">
    <fb>322.98</fb>
    <v>1</v>
  </rv>
  <rv s="0">
    <fb>129.88</fb>
    <v>1</v>
  </rv>
  <rv s="0">
    <fb>285.5</fb>
    <v>1</v>
  </rv>
  <rv s="0">
    <fb>46.018000000000001</fb>
    <v>1</v>
  </rv>
  <rv s="0">
    <fb>147.05000000000001</fb>
    <v>1</v>
  </rv>
  <rv s="0">
    <fb>242.57</fb>
    <v>1</v>
  </rv>
  <rv s="0">
    <fb>166.25</fb>
    <v>1</v>
  </rv>
  <rv s="0">
    <fb>238.59</fb>
    <v>1</v>
  </rv>
  <rv s="0">
    <fb>133.26</fb>
    <v>1</v>
  </rv>
  <rv s="0">
    <fb>45166</fb>
    <v>0</v>
  </rv>
  <rv s="0">
    <fb>180.19</fb>
    <v>1</v>
  </rv>
  <rv s="0">
    <fb>323.7</fb>
    <v>1</v>
  </rv>
  <rv s="0">
    <fb>131.01</fb>
    <v>1</v>
  </rv>
  <rv s="0">
    <fb>290.26</fb>
    <v>1</v>
  </rv>
  <rv s="0">
    <fb>46.835000000000001</fb>
    <v>1</v>
  </rv>
  <rv s="0">
    <fb>147.56</fb>
    <v>1</v>
  </rv>
  <rv s="0">
    <fb>243.83</fb>
    <v>1</v>
  </rv>
  <rv s="0">
    <fb>164.29</fb>
    <v>1</v>
  </rv>
  <rv s="0">
    <fb>133.13999999999999</fb>
    <v>1</v>
  </rv>
  <rv s="0">
    <fb>45167</fb>
    <v>0</v>
  </rv>
  <rv s="0">
    <fb>184.12</fb>
    <v>1</v>
  </rv>
  <rv s="0">
    <fb>328.41</fb>
    <v>1</v>
  </rv>
  <rv s="0">
    <fb>134.57</fb>
    <v>1</v>
  </rv>
  <rv s="0">
    <fb>297.99</fb>
    <v>1</v>
  </rv>
  <rv s="0">
    <fb>48.783999999999999</fb>
    <v>1</v>
  </rv>
  <rv s="0">
    <fb>148.76</fb>
    <v>1</v>
  </rv>
  <rv s="0">
    <fb>257.18</fb>
    <v>1</v>
  </rv>
  <rv s="0">
    <fb>134.91</fb>
    <v>1</v>
  </rv>
  <rv s="0">
    <fb>45168</fb>
    <v>0</v>
  </rv>
  <rv s="0">
    <fb>187.65</fb>
    <v>1</v>
  </rv>
  <rv s="0">
    <fb>328.79</fb>
    <v>1</v>
  </rv>
  <rv s="0">
    <fb>135.88</fb>
    <v>1</v>
  </rv>
  <rv s="0">
    <fb>295.10000000000002</fb>
    <v>1</v>
  </rv>
  <rv s="0">
    <fb>49.264000000000003</fb>
    <v>1</v>
  </rv>
  <rv s="0">
    <fb>148.16</fb>
    <v>1</v>
  </rv>
  <rv s="0">
    <fb>246.23</fb>
    <v>1</v>
  </rv>
  <rv s="0">
    <fb>256.89999999999998</fb>
    <v>1</v>
  </rv>
  <rv s="0">
    <fb>45169</fb>
    <v>0</v>
  </rv>
  <rv s="0">
    <fb>187.87</fb>
    <v>1</v>
  </rv>
  <rv s="0">
    <fb>327.76</fb>
    <v>1</v>
  </rv>
  <rv s="0">
    <fb>136.16999999999999</fb>
    <v>1</v>
  </rv>
  <rv s="0">
    <fb>295.89</fb>
    <v>1</v>
  </rv>
  <rv s="0">
    <fb>49.354999999999997</fb>
    <v>1</v>
  </rv>
  <rv s="0">
    <fb>146.33000000000001</fb>
    <v>1</v>
  </rv>
  <rv s="0">
    <fb>245.68</fb>
    <v>1</v>
  </rv>
  <rv s="0">
    <fb>161.68</fb>
    <v>1</v>
  </rv>
  <rv s="0">
    <fb>258.08</fb>
    <v>1</v>
  </rv>
  <rv s="0">
    <fb>138.01</fb>
    <v>1</v>
  </rv>
  <rv s="0">
    <fb>45170</fb>
    <v>0</v>
  </rv>
  <rv s="0">
    <fb>189.46</fb>
    <v>1</v>
  </rv>
  <rv s="0">
    <fb>328.66</fb>
    <v>1</v>
  </rv>
  <rv s="0">
    <fb>135.66</fb>
    <v>1</v>
  </rv>
  <rv s="0">
    <fb>296.38</fb>
    <v>1</v>
  </rv>
  <rv s="0">
    <fb>48.509</fb>
    <v>1</v>
  </rv>
  <rv s="0">
    <fb>146.82</fb>
    <v>1</v>
  </rv>
  <rv s="0">
    <fb>248.11</fb>
    <v>1</v>
  </rv>
  <rv s="0">
    <fb>160.47999999999999</fb>
    <v>1</v>
  </rv>
  <rv s="0">
    <fb>245.01</fb>
    <v>1</v>
  </rv>
  <rv s="0">
    <fb>138.12</fb>
    <v>1</v>
  </rv>
  <rv s="0">
    <fb>45174</fb>
    <v>0</v>
  </rv>
  <rv s="0">
    <fb>189.7</fb>
    <v>1</v>
  </rv>
  <rv s="0">
    <fb>333.55</fb>
    <v>1</v>
  </rv>
  <rv s="0">
    <fb>135.77000000000001</fb>
    <v>1</v>
  </rv>
  <rv s="0">
    <fb>300.14999999999998</fb>
    <v>1</v>
  </rv>
  <rv s="0">
    <fb>48.548000000000002</fb>
    <v>1</v>
  </rv>
  <rv s="0">
    <fb>145.19999999999999</fb>
    <v>1</v>
  </rv>
  <rv s="0">
    <fb>160.68</fb>
    <v>1</v>
  </rv>
  <rv s="0">
    <fb>256.49</fb>
    <v>1</v>
  </rv>
  <rv s="0">
    <fb>45175</fb>
    <v>0</v>
  </rv>
  <rv s="0">
    <fb>182.91</fb>
    <v>1</v>
  </rv>
  <rv s="0">
    <fb>332.88</fb>
    <v>1</v>
  </rv>
  <rv s="0">
    <fb>134.46</fb>
    <v>1</v>
  </rv>
  <rv s="0">
    <fb>299.17</fb>
    <v>1</v>
  </rv>
  <rv s="0">
    <fb>47.061</fb>
    <v>1</v>
  </rv>
  <rv s="0">
    <fb>144.96</fb>
    <v>1</v>
  </rv>
  <rv s="0">
    <fb>246.16</fb>
    <v>1</v>
  </rv>
  <rv s="0">
    <fb>158.01</fb>
    <v>1</v>
  </rv>
  <rv s="0">
    <fb>251.92</fb>
    <v>1</v>
  </rv>
  <rv s="0">
    <fb>45176</fb>
    <v>0</v>
  </rv>
  <rv s="0">
    <fb>177.56</fb>
    <v>1</v>
  </rv>
  <rv s="0">
    <fb>329.91</fb>
    <v>1</v>
  </rv>
  <rv s="0">
    <fb>135.26</fb>
    <v>1</v>
  </rv>
  <rv s="0">
    <fb>298.67</fb>
    <v>1</v>
  </rv>
  <rv s="0">
    <fb>46.241</fb>
    <v>1</v>
  </rv>
  <rv s="0">
    <fb>143.72</fb>
    <v>1</v>
  </rv>
  <rv s="0">
    <fb>247.14</fb>
    <v>1</v>
  </rv>
  <rv s="0">
    <fb>160.03</fb>
    <v>1</v>
  </rv>
  <rv s="0">
    <fb>251.49</fb>
    <v>1</v>
  </rv>
  <rv s="0">
    <fb>45177</fb>
    <v>0</v>
  </rv>
  <rv s="0">
    <fb>178.18</fb>
    <v>1</v>
  </rv>
  <rv s="0">
    <fb>334.27</fb>
    <v>1</v>
  </rv>
  <rv s="0">
    <fb>297.89</fb>
    <v>1</v>
  </rv>
  <rv s="0">
    <fb>45.572000000000003</fb>
    <v>1</v>
  </rv>
  <rv s="0">
    <fb>143.83000000000001</fb>
    <v>1</v>
  </rv>
  <rv s="0">
    <fb>247.29</fb>
    <v>1</v>
  </rv>
  <rv s="0">
    <fb>160.56</fb>
    <v>1</v>
  </rv>
  <rv s="0">
    <fb>248.5</fb>
    <v>1</v>
  </rv>
  <rv s="0">
    <fb>138.22999999999999</fb>
    <v>1</v>
  </rv>
  <rv s="0">
    <fb>45180</fb>
    <v>0</v>
  </rv>
  <rv s="0">
    <fb>179.36</fb>
    <v>1</v>
  </rv>
  <rv s="0">
    <fb>337.94</fb>
    <v>1</v>
  </rv>
  <rv s="0">
    <fb>136.91999999999999</fb>
    <v>1</v>
  </rv>
  <rv s="0">
    <fb>307.56</fb>
    <v>1</v>
  </rv>
  <rv s="0">
    <fb>45.177999999999997</fb>
    <v>1</v>
  </rv>
  <rv s="0">
    <fb>144.46</fb>
    <v>1</v>
  </rv>
  <rv s="0">
    <fb>247.22</fb>
    <v>1</v>
  </rv>
  <rv s="0">
    <fb>162.66</fb>
    <v>1</v>
  </rv>
  <rv s="0">
    <fb>273.58</fb>
    <v>1</v>
  </rv>
  <rv s="0">
    <fb>143.1</fb>
    <v>1</v>
  </rv>
  <rv s="0">
    <fb>45181</fb>
    <v>0</v>
  </rv>
  <rv s="0">
    <fb>176.3</fb>
    <v>1</v>
  </rv>
  <rv s="0">
    <fb>331.77</fb>
    <v>1</v>
  </rv>
  <rv s="0">
    <fb>301.66000000000003</fb>
    <v>1</v>
  </rv>
  <rv s="0">
    <fb>44.87</fb>
    <v>1</v>
  </rv>
  <rv s="0">
    <fb>146.34</fb>
    <v>1</v>
  </rv>
  <rv s="0">
    <fb>247.3</fb>
    <v>1</v>
  </rv>
  <rv s="0">
    <fb>267.48</fb>
    <v>1</v>
  </rv>
  <rv s="0">
    <fb>141.22999999999999</fb>
    <v>1</v>
  </rv>
  <rv s="0">
    <fb>45182</fb>
    <v>0</v>
  </rv>
  <rv s="0">
    <fb>174.21</fb>
    <v>1</v>
  </rv>
  <rv s="0">
    <fb>336.06</fb>
    <v>1</v>
  </rv>
  <rv s="0">
    <fb>305.06</fb>
    <v>1</v>
  </rv>
  <rv s="0">
    <fb>45.484999999999999</fb>
    <v>1</v>
  </rv>
  <rv s="0">
    <fb>146.41</fb>
    <v>1</v>
  </rv>
  <rv s="0">
    <fb>247.83</fb>
    <v>1</v>
  </rv>
  <rv s="0">
    <fb>163.99</fb>
    <v>1</v>
  </rv>
  <rv s="0">
    <fb>271.3</fb>
    <v>1</v>
  </rv>
  <rv s="0">
    <fb>144.85</fb>
    <v>1</v>
  </rv>
  <rv s="0">
    <fb>45183</fb>
    <v>0</v>
  </rv>
  <rv s="0">
    <fb>175.74</fb>
    <v>1</v>
  </rv>
  <rv s="0">
    <fb>338.7</fb>
    <v>1</v>
  </rv>
  <rv s="0">
    <fb>138.1</fb>
    <v>1</v>
  </rv>
  <rv s="0">
    <fb>311.72000000000003</fb>
    <v>1</v>
  </rv>
  <rv s="0">
    <fb>45.581000000000003</fb>
    <v>1</v>
  </rv>
  <rv s="0">
    <fb>149.25</fb>
    <v>1</v>
  </rv>
  <rv s="0">
    <fb>241.5</fb>
    <v>1</v>
  </rv>
  <rv s="0">
    <fb>163.74</fb>
    <v>1</v>
  </rv>
  <rv s="0">
    <fb>276.04000000000002</fb>
    <v>1</v>
  </rv>
  <rv s="0">
    <fb>144.72</fb>
    <v>1</v>
  </rv>
  <rv s="0">
    <fb>45184</fb>
    <v>0</v>
  </rv>
  <rv s="0">
    <fb>175.01</fb>
    <v>1</v>
  </rv>
  <rv s="0">
    <fb>330.22</fb>
    <v>1</v>
  </rv>
  <rv s="0">
    <fb>137.4</fb>
    <v>1</v>
  </rv>
  <rv s="0">
    <fb>300.31</fb>
    <v>1</v>
  </rv>
  <rv s="0">
    <fb>43.9</fb>
    <v>1</v>
  </rv>
  <rv s="0">
    <fb>148.81</fb>
    <v>1</v>
  </rv>
  <rv s="0">
    <fb>241.07</fb>
    <v>1</v>
  </rv>
  <rv s="0">
    <fb>161.44999999999999</fb>
    <v>1</v>
  </rv>
  <rv s="0">
    <fb>274.39</fb>
    <v>1</v>
  </rv>
  <rv s="0">
    <fb>140.38999999999999</fb>
    <v>1</v>
  </rv>
  <rv s="0">
    <fb>45187</fb>
    <v>0</v>
  </rv>
  <rv s="0">
    <fb>329.06</fb>
    <v>1</v>
  </rv>
  <rv s="0">
    <fb>138.21</fb>
    <v>1</v>
  </rv>
  <rv s="0">
    <fb>302.55</fb>
    <v>1</v>
  </rv>
  <rv s="0">
    <fb>43.966000000000001</fb>
    <v>1</v>
  </rv>
  <rv s="0">
    <fb>149.12</fb>
    <v>1</v>
  </rv>
  <rv s="0">
    <fb>244.66</fb>
    <v>1</v>
  </rv>
  <rv s="0">
    <fb>162.47</fb>
    <v>1</v>
  </rv>
  <rv s="0">
    <fb>45188</fb>
    <v>0</v>
  </rv>
  <rv s="0">
    <fb>179.07</fb>
    <v>1</v>
  </rv>
  <rv s="0">
    <fb>328.65</fb>
    <v>1</v>
  </rv>
  <rv s="0">
    <fb>138.04</fb>
    <v>1</v>
  </rv>
  <rv s="0">
    <fb>305.07</fb>
    <v>1</v>
  </rv>
  <rv s="0">
    <fb>43.52</fb>
    <v>1</v>
  </rv>
  <rv s="0">
    <fb>148.93</fb>
    <v>1</v>
  </rv>
  <rv s="0">
    <fb>243.56</fb>
    <v>1</v>
  </rv>
  <rv s="0">
    <fb>162.19999999999999</fb>
    <v>1</v>
  </rv>
  <rv s="0">
    <fb>266.5</fb>
    <v>1</v>
  </rv>
  <rv s="0">
    <fb>137.63</fb>
    <v>1</v>
  </rv>
  <rv s="0">
    <fb>45189</fb>
    <v>0</v>
  </rv>
  <rv s="0">
    <fb>175.49</fb>
    <v>1</v>
  </rv>
  <rv s="0">
    <fb>320.77</fb>
    <v>1</v>
  </rv>
  <rv s="0">
    <fb>133.74</fb>
    <v>1</v>
  </rv>
  <rv s="0">
    <fb>299.67</fb>
    <v>1</v>
  </rv>
  <rv s="0">
    <fb>42.238999999999997</fb>
    <v>1</v>
  </rv>
  <rv s="0">
    <fb>148.30000000000001</fb>
    <v>1</v>
  </rv>
  <rv s="0">
    <fb>241.86</fb>
    <v>1</v>
  </rv>
  <rv s="0">
    <fb>162.91</fb>
    <v>1</v>
  </rv>
  <rv s="0">
    <fb>262.58999999999997</fb>
    <v>1</v>
  </rv>
  <rv s="0">
    <fb>135.29</fb>
    <v>1</v>
  </rv>
  <rv s="0">
    <fb>45190</fb>
    <v>0</v>
  </rv>
  <rv s="0">
    <fb>173.93</fb>
    <v>1</v>
  </rv>
  <rv s="0">
    <fb>319.52999999999997</fb>
    <v>1</v>
  </rv>
  <rv s="0">
    <fb>130.44</fb>
    <v>1</v>
  </rv>
  <rv s="0">
    <fb>295.73</fb>
    <v>1</v>
  </rv>
  <rv s="0">
    <fb>41.017000000000003</fb>
    <v>1</v>
  </rv>
  <rv s="0">
    <fb>147.13999999999999</fb>
    <v>1</v>
  </rv>
  <rv s="0">
    <fb>236.61</fb>
    <v>1</v>
  </rv>
  <rv s="0">
    <fb>161.66</fb>
    <v>1</v>
  </rv>
  <rv s="0">
    <fb>255.7</fb>
    <v>1</v>
  </rv>
  <rv s="0">
    <fb>45191</fb>
    <v>0</v>
  </rv>
  <rv s="0">
    <fb>174.79</fb>
    <v>1</v>
  </rv>
  <rv s="0">
    <fb>317.01</fb>
    <v>1</v>
  </rv>
  <rv s="0">
    <fb>130.25</fb>
    <v>1</v>
  </rv>
  <rv s="0">
    <fb>299.08</fb>
    <v>1</v>
  </rv>
  <rv s="0">
    <fb>41.61</fb>
    <v>1</v>
  </rv>
  <rv s="0">
    <fb>145.72999999999999</fb>
    <v>1</v>
  </rv>
  <rv s="0">
    <fb>235.08</fb>
    <v>1</v>
  </rv>
  <rv s="0">
    <fb>160.5</fb>
    <v>1</v>
  </rv>
  <rv s="0">
    <fb>244.88</fb>
    <v>1</v>
  </rv>
  <rv s="0">
    <fb>129.12</fb>
    <v>1</v>
  </rv>
  <rv s="0">
    <fb>45194</fb>
    <v>0</v>
  </rv>
  <rv s="0">
    <fb>176.08</fb>
    <v>1</v>
  </rv>
  <rv s="0">
    <fb>317.54000000000002</fb>
    <v>1</v>
  </rv>
  <rv s="0">
    <fb>131.11000000000001</fb>
    <v>1</v>
  </rv>
  <rv s="0">
    <fb>300.83</fb>
    <v>1</v>
  </rv>
  <rv s="0">
    <fb>42.222000000000001</fb>
    <v>1</v>
  </rv>
  <rv s="0">
    <fb>146.44999999999999</fb>
    <v>1</v>
  </rv>
  <rv s="0">
    <fb>233.36</fb>
    <v>1</v>
  </rv>
  <rv s="0">
    <fb>246.99</fb>
    <v>1</v>
  </rv>
  <rv s="0">
    <fb>131.27000000000001</fb>
    <v>1</v>
  </rv>
  <rv s="0">
    <fb>45195</fb>
    <v>0</v>
  </rv>
  <rv s="0">
    <fb>171.96</fb>
    <v>1</v>
  </rv>
  <rv s="0">
    <fb>312.14</fb>
    <v>1</v>
  </rv>
  <rv s="0">
    <fb>128.565</fb>
    <v>1</v>
  </rv>
  <rv s="0">
    <fb>298.95999999999998</fb>
    <v>1</v>
  </rv>
  <rv s="0">
    <fb>41.911000000000001</fb>
    <v>1</v>
  </rv>
  <rv s="0">
    <fb>144.93</fb>
    <v>1</v>
  </rv>
  <rv s="0">
    <fb>229.65</fb>
    <v>1</v>
  </rv>
  <rv s="0">
    <fb>159.02000000000001</fb>
    <v>1</v>
  </rv>
  <rv s="0">
    <fb>244.12</fb>
    <v>1</v>
  </rv>
  <rv s="0">
    <fb>125.98</fb>
    <v>1</v>
  </rv>
  <rv s="0">
    <fb>45196</fb>
    <v>0</v>
  </rv>
  <rv s="0">
    <fb>170.43</fb>
    <v>1</v>
  </rv>
  <rv s="0">
    <fb>312.79000000000002</fb>
    <v>1</v>
  </rv>
  <rv s="0">
    <fb>130.54</fb>
    <v>1</v>
  </rv>
  <rv s="0">
    <fb>297.74</fb>
    <v>1</v>
  </rv>
  <rv s="0">
    <fb>42.468000000000004</fb>
    <v>1</v>
  </rv>
  <rv s="0">
    <fb>145.78</fb>
    <v>1</v>
  </rv>
  <rv s="0">
    <fb>229.5</fb>
    <v>1</v>
  </rv>
  <rv s="0">
    <fb>157.11000000000001</fb>
    <v>1</v>
  </rv>
  <rv s="0">
    <fb>240.5</fb>
    <v>1</v>
  </rv>
  <rv s="0">
    <fb>45197</fb>
    <v>0</v>
  </rv>
  <rv s="0">
    <fb>170.69</fb>
    <v>1</v>
  </rv>
  <rv s="0">
    <fb>313.64</fb>
    <v>1</v>
  </rv>
  <rv s="0">
    <fb>132.31</fb>
    <v>1</v>
  </rv>
  <rv s="0">
    <fb>303.95999999999998</fb>
    <v>1</v>
  </rv>
  <rv s="0">
    <fb>43.088999999999999</fb>
    <v>1</v>
  </rv>
  <rv s="0">
    <fb>147.59</fb>
    <v>1</v>
  </rv>
  <rv s="0">
    <fb>231.66</fb>
    <v>1</v>
  </rv>
  <rv s="0">
    <fb>156.88</fb>
    <v>1</v>
  </rv>
  <rv s="0">
    <fb>246.38</fb>
    <v>1</v>
  </rv>
  <rv s="0">
    <fb>45198</fb>
    <v>0</v>
  </rv>
  <rv s="0">
    <fb>171.21</fb>
    <v>1</v>
  </rv>
  <rv s="0">
    <fb>315.75</fb>
    <v>1</v>
  </rv>
  <rv s="0">
    <fb>130.86000000000001</fb>
    <v>1</v>
  </rv>
  <rv s="0">
    <fb>300.20999999999998</fb>
    <v>1</v>
  </rv>
  <rv s="0">
    <fb>43.499000000000002</fb>
    <v>1</v>
  </rv>
  <rv s="0">
    <fb>145.02000000000001</fb>
    <v>1</v>
  </rv>
  <rv s="0">
    <fb>230.01</fb>
    <v>1</v>
  </rv>
  <rv s="0">
    <fb>155.75</fb>
    <v>1</v>
  </rv>
  <rv s="0">
    <fb>250.22</fb>
    <v>1</v>
  </rv>
  <rv s="0">
    <fb>127.12</fb>
    <v>1</v>
  </rv>
  <rv s="0">
    <fb>45201</fb>
    <v>0</v>
  </rv>
  <rv s="0">
    <fb>321.8</fb>
    <v>1</v>
  </rv>
  <rv s="0">
    <fb>134.16999999999999</fb>
    <v>1</v>
  </rv>
  <rv s="0">
    <fb>306.82</fb>
    <v>1</v>
  </rv>
  <rv s="0">
    <fb>44.781999999999996</fb>
    <v>1</v>
  </rv>
  <rv s="0">
    <fb>143.77000000000001</fb>
    <v>1</v>
  </rv>
  <rv s="0">
    <fb>155.15</fb>
    <v>1</v>
  </rv>
  <rv s="0">
    <fb>251.6</fb>
    <v>1</v>
  </rv>
  <rv s="0">
    <fb>129.46</fb>
    <v>1</v>
  </rv>
  <rv s="0">
    <fb>45202</fb>
    <v>0</v>
  </rv>
  <rv s="0">
    <fb>172.4</fb>
    <v>1</v>
  </rv>
  <rv s="0">
    <fb>313.39</fb>
    <v>1</v>
  </rv>
  <rv s="0">
    <fb>132.43</fb>
    <v>1</v>
  </rv>
  <rv s="0">
    <fb>300.94</fb>
    <v>1</v>
  </rv>
  <rv s="0">
    <fb>43.517000000000003</fb>
    <v>1</v>
  </rv>
  <rv s="0">
    <fb>142.71</fb>
    <v>1</v>
  </rv>
  <rv s="0">
    <fb>228.81</fb>
    <v>1</v>
  </rv>
  <rv s="0">
    <fb>155.34</fb>
    <v>1</v>
  </rv>
  <rv s="0">
    <fb>246.53</fb>
    <v>1</v>
  </rv>
  <rv s="0">
    <fb>124.72</fb>
    <v>1</v>
  </rv>
  <rv s="0">
    <fb>45203</fb>
    <v>0</v>
  </rv>
  <rv s="0">
    <fb>173.66</fb>
    <v>1</v>
  </rv>
  <rv s="0">
    <fb>318.95499999999998</fb>
    <v>1</v>
  </rv>
  <rv s="0">
    <fb>135.24</fb>
    <v>1</v>
  </rv>
  <rv s="0">
    <fb>305.58</fb>
    <v>1</v>
  </rv>
  <rv s="0">
    <fb>45204</fb>
    <v>0</v>
  </rv>
  <rv s="0">
    <fb>174.91</fb>
    <v>1</v>
  </rv>
  <rv s="0">
    <fb>319.36</fb>
    <v>1</v>
  </rv>
  <rv s="0">
    <fb>304.79000000000002</fb>
    <v>1</v>
  </rv>
  <rv s="0">
    <fb>45205</fb>
    <v>0</v>
  </rv>
  <rv s="0">
    <fb>177.49</fb>
    <v>1</v>
  </rv>
  <rv s="0">
    <fb>327.26</fb>
    <v>1</v>
  </rv>
  <rv s="0">
    <fb>315.43</fb>
    <v>1</v>
  </rv>
  <rv s="0">
    <fb>45208</fb>
    <v>0</v>
  </rv>
  <rv s="0">
    <fb>178.99</fb>
    <v>1</v>
  </rv>
  <rv s="0">
    <fb>329.82</fb>
    <v>1</v>
  </rv>
  <rv s="0">
    <fb>138.41999999999999</fb>
    <v>1</v>
  </rv>
  <rv s="0">
    <fb>318.36</fb>
    <v>1</v>
  </rv>
  <rv s="0">
    <fb>45209</fb>
    <v>0</v>
  </rv>
  <rv s="0">
    <fb>178.39</fb>
    <v>1</v>
  </rv>
  <rv s="0">
    <fb>138.06</fb>
    <v>1</v>
  </rv>
  <rv s="0">
    <fb>321.83999999999997</fb>
    <v>1</v>
  </rv>
  <rv s="0">
    <fb>45210</fb>
    <v>0</v>
  </rv>
  <rv s="0">
    <fb>332.42</fb>
    <v>1</v>
  </rv>
  <rv s="0">
    <fb>140.55000000000001</fb>
    <v>1</v>
  </rv>
  <rv s="0">
    <fb>327.82</fb>
    <v>1</v>
  </rv>
  <rv s="0">
    <fb>45211</fb>
    <v>0</v>
  </rv>
  <rv s="0">
    <fb>180.71</fb>
    <v>1</v>
  </rv>
  <rv s="0">
    <fb>331.16</fb>
    <v>1</v>
  </rv>
  <rv s="0">
    <fb>138.97</fb>
    <v>1</v>
  </rv>
  <rv s="0">
    <fb>324.16000000000003</fb>
    <v>1</v>
  </rv>
  <rv s="0">
    <fb>45212</fb>
    <v>0</v>
  </rv>
  <rv s="0">
    <fb>327.73</fb>
    <v>1</v>
  </rv>
  <rv s="0">
    <fb>137.36000000000001</fb>
    <v>1</v>
  </rv>
  <rv s="0">
    <fb>314.69</fb>
    <v>1</v>
  </rv>
  <rv s="0">
    <fb>45215</fb>
    <v>0</v>
  </rv>
  <rv s="0">
    <fb>178.72</fb>
    <v>1</v>
  </rv>
  <rv s="0">
    <fb>332.64</fb>
    <v>1</v>
  </rv>
  <rv s="0">
    <fb>139.095</fb>
    <v>1</v>
  </rv>
  <rv s="0">
    <fb>321.14999999999998</fb>
    <v>1</v>
  </rv>
  <rv s="0">
    <fb>45216</fb>
    <v>0</v>
  </rv>
  <rv s="0">
    <fb>177.15</fb>
    <v>1</v>
  </rv>
  <rv s="0">
    <fb>332.06</fb>
    <v>1</v>
  </rv>
  <rv s="0">
    <fb>139.72</fb>
    <v>1</v>
  </rv>
  <rv s="0">
    <fb>324</fb>
    <v>1</v>
  </rv>
  <rv s="0">
    <fb>45217</fb>
    <v>0</v>
  </rv>
  <rv s="0">
    <fb>137.96</fb>
    <v>1</v>
  </rv>
  <rv s="0">
    <fb>316.97000000000003</fb>
    <v>1</v>
  </rv>
  <rv s="0">
    <fb>45218</fb>
    <v>0</v>
  </rv>
  <rv s="0">
    <fb>175.46</fb>
    <v>1</v>
  </rv>
  <rv s="0">
    <fb>331.32</fb>
    <v>1</v>
  </rv>
  <rv s="0">
    <fb>137.75</fb>
    <v>1</v>
  </rv>
  <rv s="0">
    <fb>312.81</fb>
    <v>1</v>
  </rv>
  <rv s="0">
    <fb>45219</fb>
    <v>0</v>
  </rv>
  <rv s="0">
    <fb>326.67</fb>
    <v>1</v>
  </rv>
  <rv s="0">
    <fb>135.6</fb>
    <v>1</v>
  </rv>
  <rv s="0">
    <fb>45222</fb>
    <v>0</v>
  </rv>
  <rv s="0">
    <fb>173</fb>
    <v>1</v>
  </rv>
  <rv s="0">
    <fb>329.32</fb>
    <v>1</v>
  </rv>
  <rv s="0">
    <fb>136.5</fb>
    <v>1</v>
  </rv>
  <rv s="0">
    <fb>314.01</fb>
    <v>1</v>
  </rv>
  <rv s="0">
    <fb>45223</fb>
    <v>0</v>
  </rv>
  <rv s="0">
    <fb>330.53</fb>
    <v>1</v>
  </rv>
  <rv s="0">
    <fb>138.81</fb>
    <v>1</v>
  </rv>
  <rv s="0">
    <fb>312.55</fb>
    <v>1</v>
  </rv>
  <rv s="0">
    <fb>45224</fb>
    <v>0</v>
  </rv>
  <rv s="0">
    <fb>171.1</fb>
    <v>1</v>
  </rv>
  <rv s="0">
    <fb>340.67</fb>
    <v>1</v>
  </rv>
  <rv s="0">
    <fb>125.61</fb>
    <v>1</v>
  </rv>
  <rv s="0">
    <fb>299.52999999999997</fb>
    <v>1</v>
  </rv>
  <rv s="0">
    <fb>45225</fb>
    <v>0</v>
  </rv>
  <rv s="0">
    <fb>166.89</fb>
    <v>1</v>
  </rv>
  <rv s="0">
    <fb>327.89</fb>
    <v>1</v>
  </rv>
  <rv s="0">
    <fb>122.28</fb>
    <v>1</v>
  </rv>
  <rv s="0">
    <fb>288.35000000000002</fb>
    <v>1</v>
  </rv>
  <rv s="0">
    <fb>45226</fb>
    <v>0</v>
  </rv>
  <rv s="0">
    <fb>168.22</fb>
    <v>1</v>
  </rv>
  <rv s="0">
    <fb>329.81</fb>
    <v>1</v>
  </rv>
  <rv s="0">
    <fb>122.17</fb>
    <v>1</v>
  </rv>
  <rv s="0">
    <fb>296.73</fb>
    <v>1</v>
  </rv>
  <rv s="0">
    <fb>45229</fb>
    <v>0</v>
  </rv>
  <rv s="0">
    <fb>170.29</fb>
    <v>1</v>
  </rv>
  <rv s="0">
    <fb>337.31</fb>
    <v>1</v>
  </rv>
  <rv s="0">
    <fb>124.46</fb>
    <v>1</v>
  </rv>
  <rv s="0">
    <fb>302.66000000000003</fb>
    <v>1</v>
  </rv>
  <rv s="0">
    <fb>45230</fb>
    <v>0</v>
  </rv>
  <rv s="0">
    <fb>170.77</fb>
    <v>1</v>
  </rv>
  <rv s="0">
    <fb>338.11</fb>
    <v>1</v>
  </rv>
  <rv s="0">
    <fb>124.08</fb>
    <v>1</v>
  </rv>
  <rv s="0">
    <fb>301.27</fb>
    <v>1</v>
  </rv>
  <rv s="0">
    <fb>45231</fb>
    <v>0</v>
  </rv>
  <rv s="0">
    <fb>173.97</fb>
    <v>1</v>
  </rv>
  <rv s="0">
    <fb>346.07</fb>
    <v>1</v>
  </rv>
  <rv s="0">
    <fb>126.45</fb>
    <v>1</v>
  </rv>
  <rv s="0">
    <fb>311.85000000000002</fb>
    <v>1</v>
  </rv>
  <rv s="0">
    <fb>45232</fb>
    <v>0</v>
  </rv>
  <rv s="0">
    <fb>177.57</fb>
    <v>1</v>
  </rv>
  <rv s="0">
    <fb>348.32</fb>
    <v>1</v>
  </rv>
  <rv s="0">
    <fb>127.49</fb>
    <v>1</v>
  </rv>
  <rv s="0">
    <fb>310.87</fb>
    <v>1</v>
  </rv>
  <rv s="0">
    <fb>45233</fb>
    <v>0</v>
  </rv>
  <rv s="0">
    <fb>176.65</fb>
    <v>1</v>
  </rv>
  <rv s="0">
    <fb>352.8</fb>
    <v>1</v>
  </rv>
  <rv s="0">
    <fb>129.1</fb>
    <v>1</v>
  </rv>
  <rv s="0">
    <fb>314.60000000000002</fb>
    <v>1</v>
  </rv>
  <rv s="0">
    <fb>45236</fb>
    <v>0</v>
  </rv>
  <rv s="0">
    <fb>179.23</fb>
    <v>1</v>
  </rv>
  <rv s="0">
    <fb>356.53</fb>
    <v>1</v>
  </rv>
  <rv s="0">
    <fb>315.8</fb>
    <v>1</v>
  </rv>
  <rv s="0">
    <fb>45237</fb>
    <v>0</v>
  </rv>
  <rv s="0">
    <fb>181.82</fb>
    <v>1</v>
  </rv>
  <rv s="0">
    <fb>360.53</fb>
    <v>1</v>
  </rv>
  <rv s="0">
    <fb>130.97</fb>
    <v>1</v>
  </rv>
  <rv s="0">
    <fb>318.82</fb>
    <v>1</v>
  </rv>
  <rv s="0">
    <fb>45238</fb>
    <v>0</v>
  </rv>
  <rv s="0">
    <fb>182.89</fb>
    <v>1</v>
  </rv>
  <rv s="0">
    <fb>363.2</fb>
    <v>1</v>
  </rv>
  <rv s="0">
    <fb>319.77999999999997</fb>
    <v>1</v>
  </rv>
  <rv s="0">
    <fb>45239</fb>
    <v>0</v>
  </rv>
  <rv s="0">
    <fb>182.41</fb>
    <v>1</v>
  </rv>
  <rv s="0">
    <fb>360.69</fb>
    <v>1</v>
  </rv>
  <rv s="0">
    <fb>130.24</fb>
    <v>1</v>
  </rv>
  <rv s="0">
    <fb>320.55</fb>
    <v>1</v>
  </rv>
  <rv s="0">
    <fb>45240</fb>
    <v>0</v>
  </rv>
  <rv s="0">
    <fb>186.4</fb>
    <v>1</v>
  </rv>
  <rv s="0">
    <fb>369.67</fb>
    <v>1</v>
  </rv>
  <rv s="0">
    <fb>132.59</fb>
    <v>1</v>
  </rv>
  <rv s="0">
    <fb>328.77</fb>
    <v>1</v>
  </rv>
  <rv s="0">
    <fb>45243</fb>
    <v>0</v>
  </rv>
  <rv s="0">
    <fb>184.8</fb>
    <v>1</v>
  </rv>
  <rv s="0">
    <fb>366.68</fb>
    <v>1</v>
  </rv>
  <rv s="0">
    <fb>132.09</fb>
    <v>1</v>
  </rv>
  <rv s="0">
    <fb>329.19</fb>
    <v>1</v>
  </rv>
  <rv s="0">
    <fb>45244</fb>
    <v>0</v>
  </rv>
  <rv s="0">
    <fb>187.44</fb>
    <v>1</v>
  </rv>
  <rv s="0">
    <fb>370.27</fb>
    <v>1</v>
  </rv>
  <rv s="0">
    <fb>133.62</fb>
    <v>1</v>
  </rv>
  <rv s="0">
    <fb>336.31</fb>
    <v>1</v>
  </rv>
  <rv s="0">
    <fb>45245</fb>
    <v>0</v>
  </rv>
  <rv s="0">
    <fb>188.01</fb>
    <v>1</v>
  </rv>
  <rv s="0">
    <fb>332.71</fb>
    <v>1</v>
  </rv>
  <rv s="0">
    <fb>45246</fb>
    <v>0</v>
  </rv>
  <rv s="0">
    <fb>189.71</fb>
    <v>1</v>
  </rv>
  <rv s="0">
    <fb>376.17</fb>
    <v>1</v>
  </rv>
  <rv s="0">
    <fb>136.93</fb>
    <v>1</v>
  </rv>
  <rv s="0">
    <fb>334.19</fb>
    <v>1</v>
  </rv>
  <rv s="0">
    <fb>45247</fb>
    <v>0</v>
  </rv>
  <rv s="0">
    <fb>189.69</fb>
    <v>1</v>
  </rv>
  <rv s="0">
    <fb>369.85</fb>
    <v>1</v>
  </rv>
  <rv s="0">
    <fb>135.31</fb>
    <v>1</v>
  </rv>
  <rv s="0">
    <fb>335.04</fb>
    <v>1</v>
  </rv>
  <rv s="0">
    <fb>45250</fb>
    <v>0</v>
  </rv>
  <rv s="0">
    <fb>191.45</fb>
    <v>1</v>
  </rv>
  <rv s="0">
    <fb>377.44</fb>
    <v>1</v>
  </rv>
  <rv s="0">
    <fb>136.25</fb>
    <v>1</v>
  </rv>
  <rv s="0">
    <fb>339.97</fb>
    <v>1</v>
  </rv>
  <rv s="0">
    <fb>45251</fb>
    <v>0</v>
  </rv>
  <rv s="0">
    <fb>190.64</fb>
    <v>1</v>
  </rv>
  <rv s="0">
    <fb>373.07</fb>
    <v>1</v>
  </rv>
  <rv s="0">
    <fb>136.97</fb>
    <v>1</v>
  </rv>
  <rv s="0">
    <fb>336.98</fb>
    <v>1</v>
  </rv>
  <rv s="0">
    <fb>45252</fb>
    <v>0</v>
  </rv>
  <rv s="0">
    <fb>191.31</fb>
    <v>1</v>
  </rv>
  <rv s="0">
    <fb>377.85</fb>
    <v>1</v>
  </rv>
  <rv s="0">
    <fb>138.49</fb>
    <v>1</v>
  </rv>
  <rv s="0">
    <fb>341.49</fb>
    <v>1</v>
  </rv>
  <rv s="0">
    <fb>45254</fb>
    <v>0</v>
  </rv>
  <rv s="0">
    <fb>189.97</fb>
    <v>1</v>
  </rv>
  <rv s="0">
    <fb>377.43</fb>
    <v>1</v>
  </rv>
  <rv s="0">
    <fb>136.69</fb>
    <v>1</v>
  </rv>
  <rv s="0">
    <fb>338.23</fb>
    <v>1</v>
  </rv>
  <rv s="0">
    <fb>45257</fb>
    <v>0</v>
  </rv>
  <rv s="0">
    <fb>189.79</fb>
    <v>1</v>
  </rv>
  <rv s="0">
    <fb>378.61</fb>
    <v>1</v>
  </rv>
  <rv s="0">
    <fb>334.7</fb>
    <v>1</v>
  </rv>
  <rv s="0">
    <fb>45258</fb>
    <v>0</v>
  </rv>
  <rv s="0">
    <fb>190.4</fb>
    <v>1</v>
  </rv>
  <rv s="0">
    <fb>382.7</fb>
    <v>1</v>
  </rv>
  <rv s="0">
    <fb>137.19999999999999</fb>
    <v>1</v>
  </rv>
  <rv s="0">
    <fb>338.99</fb>
    <v>1</v>
  </rv>
  <rv s="0">
    <fb>45259</fb>
    <v>0</v>
  </rv>
  <rv s="0">
    <fb>189.37</fb>
    <v>1</v>
  </rv>
  <rv s="0">
    <fb>378.85</fb>
    <v>1</v>
  </rv>
  <rv s="0">
    <fb>134.99</fb>
    <v>1</v>
  </rv>
  <rv s="0">
    <fb>332.2</fb>
    <v>1</v>
  </rv>
  <rv s="0">
    <fb>45260</fb>
    <v>0</v>
  </rv>
  <rv s="0">
    <fb>189.95</fb>
    <v>1</v>
  </rv>
  <rv s="0">
    <fb>378.91</fb>
    <v>1</v>
  </rv>
  <rv s="0">
    <fb>132.53</fb>
    <v>1</v>
  </rv>
  <rv s="0">
    <fb>327.14999999999998</fb>
    <v>1</v>
  </rv>
  <rv s="0">
    <fb>45261</fb>
    <v>0</v>
  </rv>
  <rv s="0">
    <fb>191.24</fb>
    <v>1</v>
  </rv>
  <rv s="0">
    <fb>374.51</fb>
    <v>1</v>
  </rv>
  <rv s="0">
    <fb>131.86000000000001</fb>
    <v>1</v>
  </rv>
  <rv s="0">
    <fb>324.82</fb>
    <v>1</v>
  </rv>
  <rv s="0">
    <fb>45264</fb>
    <v>0</v>
  </rv>
  <rv s="0">
    <fb>189.43</fb>
    <v>1</v>
  </rv>
  <rv s="0">
    <fb>369.14</fb>
    <v>1</v>
  </rv>
  <rv s="0">
    <fb>320.02</fb>
    <v>1</v>
  </rv>
  <rv s="0">
    <fb>45265</fb>
    <v>0</v>
  </rv>
  <rv s="0">
    <fb>193.42</fb>
    <v>1</v>
  </rv>
  <rv s="0">
    <fb>372.52</fb>
    <v>1</v>
  </rv>
  <rv s="0">
    <fb>130.99</fb>
    <v>1</v>
  </rv>
  <rv s="0">
    <fb>318.29000000000002</fb>
    <v>1</v>
  </rv>
  <rv s="0">
    <fb>45266</fb>
    <v>0</v>
  </rv>
  <rv s="0">
    <fb>192.32</fb>
    <v>1</v>
  </rv>
  <rv s="0">
    <fb>368.8</fb>
    <v>1</v>
  </rv>
  <rv s="0">
    <fb>317.45</fb>
    <v>1</v>
  </rv>
  <rv s="0">
    <fb>45267</fb>
    <v>0</v>
  </rv>
  <rv s="0">
    <fb>194.27</fb>
    <v>1</v>
  </rv>
  <rv s="0">
    <fb>370.95</fb>
    <v>1</v>
  </rv>
  <rv s="0">
    <fb>326.58999999999997</fb>
    <v>1</v>
  </rv>
  <rv s="0">
    <fb>45268</fb>
    <v>0</v>
  </rv>
  <rv s="0">
    <fb>195.71</fb>
    <v>1</v>
  </rv>
  <rv s="0">
    <fb>374.23</fb>
    <v>1</v>
  </rv>
  <rv s="0">
    <fb>332.75</fb>
    <v>1</v>
  </rv>
  <rv s="0">
    <fb>45271</fb>
    <v>0</v>
  </rv>
  <rv s="0">
    <fb>193.18</fb>
    <v>1</v>
  </rv>
  <rv s="0">
    <fb>371.3</fb>
    <v>1</v>
  </rv>
  <rv s="0">
    <fb>133.29</fb>
    <v>1</v>
  </rv>
  <rv s="0">
    <fb>325.27999999999997</fb>
    <v>1</v>
  </rv>
  <rv s="0">
    <fb>45272</fb>
    <v>0</v>
  </rv>
  <rv s="0">
    <fb>194.71</fb>
    <v>1</v>
  </rv>
  <rv s="0">
    <fb>374.38</fb>
    <v>1</v>
  </rv>
  <rv s="0">
    <fb>132.52000000000001</fb>
    <v>1</v>
  </rv>
  <rv s="0">
    <fb>334.22</fb>
    <v>1</v>
  </rv>
  <rv s="0">
    <fb>45273</fb>
    <v>0</v>
  </rv>
  <rv s="0">
    <fb>197.96</fb>
    <v>1</v>
  </rv>
  <rv s="0">
    <fb>374.37</fb>
    <v>1</v>
  </rv>
  <rv s="0">
    <fb>132.57</fb>
    <v>1</v>
  </rv>
  <rv s="0">
    <fb>334.74</fb>
    <v>1</v>
  </rv>
  <rv s="0">
    <fb>45274</fb>
    <v>0</v>
  </rv>
  <rv s="0">
    <fb>198.11</fb>
    <v>1</v>
  </rv>
  <rv s="0">
    <fb>365.93</fb>
    <v>1</v>
  </rv>
  <rv s="0">
    <fb>131.94</fb>
    <v>1</v>
  </rv>
  <rv s="0">
    <fb>333.17</fb>
    <v>1</v>
  </rv>
  <rv s="0">
    <fb>45275</fb>
    <v>0</v>
  </rv>
  <rv s="0">
    <fb>197.57</fb>
    <v>1</v>
  </rv>
  <rv s="0">
    <fb>370.73</fb>
    <v>1</v>
  </rv>
  <rv s="0">
    <fb>132.6</fb>
    <v>1</v>
  </rv>
  <rv s="0">
    <fb>334.92</fb>
    <v>1</v>
  </rv>
  <rv s="0">
    <fb>45278</fb>
    <v>0</v>
  </rv>
  <rv s="0">
    <fb>195.89</fb>
    <v>1</v>
  </rv>
  <rv s="0">
    <fb>372.65</fb>
    <v>1</v>
  </rv>
  <rv s="0">
    <fb>135.80000000000001</fb>
    <v>1</v>
  </rv>
  <rv s="0">
    <fb>344.62</fb>
    <v>1</v>
  </rv>
  <rv s="0">
    <fb>45279</fb>
    <v>0</v>
  </rv>
  <rv s="0">
    <fb>196.94</fb>
    <v>1</v>
  </rv>
  <rv s="0">
    <fb>373.26</fb>
    <v>1</v>
  </rv>
  <rv s="0">
    <fb>136.65</fb>
    <v>1</v>
  </rv>
  <rv s="0">
    <fb>350.36</fb>
    <v>1</v>
  </rv>
  <rv s="1">
    <v>2</v>
    <v>V</v>
    <v>Daily</v>
    <v>44927</v>
    <v>45202</v>
    <v>0</v>
    <v>1</v>
    <v>638318880000000000,639158145181133193,0</v>
    <v>0</v>
    <v>a256cw</v>
    <v>XNYS:V</v>
    <v>1</v>
  </rv>
  <rv s="1">
    <v>2</v>
    <v>AAPL</v>
    <v>Daily</v>
    <v>44927</v>
    <v>45202</v>
    <v>0</v>
    <v>1</v>
    <v>638318880000000000,639158152373640349,0</v>
    <v>0</v>
    <v>a1mou2</v>
    <v>XNAS:AAPL</v>
    <v>2</v>
  </rv>
  <rv s="1">
    <v>2</v>
    <v>AAPL</v>
    <v>Daily</v>
    <v>44927</v>
    <v>45279</v>
    <v>0</v>
    <v>1</v>
    <v>638385408000000000,639158175437011505,0</v>
    <v>3</v>
    <v>a1mou2</v>
    <v>XNAS:AAPL</v>
    <v>4</v>
  </rv>
  <rv s="1">
    <v>2</v>
    <v>AMZN</v>
    <v>Daily</v>
    <v>44927</v>
    <v>45202</v>
    <v>0</v>
    <v>1</v>
    <v>638318880000000000,639158145737899754,0</v>
    <v>0</v>
    <v>a1nhlh</v>
    <v>XNAS:AMZN</v>
    <v>5</v>
  </rv>
  <rv s="1">
    <v>2</v>
    <v>MSFT</v>
    <v>Daily</v>
    <v>44927</v>
    <v>45202</v>
    <v>0</v>
    <v>1</v>
    <v>638318880000000000,639158132622352984,0</v>
    <v>0</v>
    <v>a1xzim</v>
    <v>XNAS:MSFT</v>
    <v>6</v>
  </rv>
  <rv s="1">
    <v>2</v>
    <v>MSFT</v>
    <v>Daily</v>
    <v>44927</v>
    <v>45279</v>
    <v>0</v>
    <v>1</v>
    <v>638385408000000000,639158170993350235,0</v>
    <v>3</v>
    <v>a1xzim</v>
    <v>XNAS:MSFT</v>
    <v>7</v>
  </rv>
  <rv s="1">
    <v>2</v>
    <v>GOOGLE</v>
    <v>Daily</v>
    <v>44927</v>
    <v>45202</v>
    <v>0</v>
    <v>1</v>
    <v>638318880000000000,639158142172923583,0</v>
    <v>0</v>
    <v>a1u3rw</v>
    <v>XNAS:GOOGL</v>
    <v>8</v>
  </rv>
  <rv s="1">
    <v>2</v>
    <v>GOOGLE</v>
    <v>Daily</v>
    <v>44927</v>
    <v>45279</v>
    <v>0</v>
    <v>1</v>
    <v>638385408000000000,639158171197615326,0</v>
    <v>3</v>
    <v>a1u3rw</v>
    <v>XNAS:GOOGL</v>
    <v>9</v>
  </rv>
  <rv s="1">
    <v>2</v>
    <v>META</v>
    <v>Daily</v>
    <v>44927</v>
    <v>45202</v>
    <v>0</v>
    <v>1</v>
    <v>638318880000000000,639158143235464594,0</v>
    <v>0</v>
    <v>a1slm7</v>
    <v>XNAS:META</v>
    <v>10</v>
  </rv>
  <rv s="1">
    <v>2</v>
    <v>META</v>
    <v>Daily</v>
    <v>44927</v>
    <v>45279</v>
    <v>0</v>
    <v>1</v>
    <v>638385408000000000,639158175411053319,0</v>
    <v>3</v>
    <v>a1slm7</v>
    <v>XNAS:META</v>
    <v>11</v>
  </rv>
  <rv s="1">
    <v>2</v>
    <v>NVDA</v>
    <v>Daily</v>
    <v>44927</v>
    <v>45202</v>
    <v>0</v>
    <v>1</v>
    <v>638318880000000000,639158143526521922,0</v>
    <v>0</v>
    <v>a1yv52</v>
    <v>XNAS:NVDA</v>
    <v>12</v>
  </rv>
  <rv s="1">
    <v>2</v>
    <v>JPM</v>
    <v>Daily</v>
    <v>44927</v>
    <v>45202</v>
    <v>0</v>
    <v>1</v>
    <v>638318880000000000,639158143686547810,0</v>
    <v>0</v>
    <v>a1waa2</v>
    <v>XNYS:JPM</v>
    <v>13</v>
  </rv>
  <rv s="1">
    <v>2</v>
    <v>JNJ</v>
    <v>Daily</v>
    <v>44927</v>
    <v>45202</v>
    <v>0</v>
    <v>1</v>
    <v>638318880000000000,639158145310627449,0</v>
    <v>0</v>
    <v>a1w8ec</v>
    <v>XNYS:JNJ</v>
    <v>14</v>
  </rv>
  <rv s="1">
    <v>2</v>
    <v>TSLA</v>
    <v>Daily</v>
    <v>44927</v>
    <v>45202</v>
    <v>0</v>
    <v>1</v>
    <v>638318880000000000,639158145474923460,0</v>
    <v>0</v>
    <v>a24kar</v>
    <v>XNAS:TSLA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workbookViewId="0">
      <selection activeCell="A2" sqref="A2:B3"/>
    </sheetView>
  </sheetViews>
  <sheetFormatPr baseColWidth="10" defaultRowHeight="15" x14ac:dyDescent="0.25"/>
  <cols>
    <col min="2" max="2" width="11.28515625" customWidth="1"/>
    <col min="3" max="9" width="10.7109375" customWidth="1"/>
    <col min="10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cm="1" vm="1">
        <f t="array" aca="1" ref="A2:B190" ca="1">_xlfn.STOCKHISTORY("AAPL",DATE(2023,1,1),DATE(2023,10,3),0,0,0,1)</f>
        <v>44929</v>
      </c>
      <c r="B2" s="1" vm="2">
        <f ca="1"/>
        <v>125.07</v>
      </c>
      <c r="C2" cm="1" vm="3">
        <f t="array" aca="1" ref="C2:C190" ca="1">_xlfn.STOCKHISTORY("MSFT",DATE(2023,1,1),DATE(2023,10,3),0,0,1)</f>
        <v>239.58</v>
      </c>
      <c r="D2" cm="1" vm="4">
        <f t="array" aca="1" ref="D2:D190" ca="1">_xlfn.STOCKHISTORY("GOOGLE",DATE(2023,1,1),DATE(2023,10,3),0,0,1)</f>
        <v>89.12</v>
      </c>
      <c r="E2" cm="1" vm="5">
        <f t="array" aca="1" ref="E2:E190" ca="1">_xlfn.STOCKHISTORY("META",DATE(2023,1,1),DATE(2023,10,3),0,0,1)</f>
        <v>124.74</v>
      </c>
      <c r="F2" cm="1" vm="6">
        <f t="array" aca="1" ref="F2:F190" ca="1">_xlfn.STOCKHISTORY("NVDA",DATE(2023,1,1),DATE(2023,10,3),0,0,1)</f>
        <v>14.315</v>
      </c>
      <c r="G2" cm="1" vm="7">
        <f t="array" aca="1" ref="G2:G190" ca="1">_xlfn.STOCKHISTORY("JPM",DATE(2023,1,1),DATE(2023,10,3),0,0,1)</f>
        <v>135.12</v>
      </c>
      <c r="H2" cm="1" vm="8">
        <f t="array" aca="1" ref="H2:H190" ca="1">_xlfn.STOCKHISTORY("V",DATE(2023,1,1),DATE(2023,10,3),0,0,1)</f>
        <v>207.39</v>
      </c>
      <c r="I2" cm="1" vm="9">
        <f t="array" aca="1" ref="I2:I190" ca="1">_xlfn.STOCKHISTORY("JNJ",DATE(2023,1,1),DATE(2023,10,3),0,0,1)</f>
        <v>178.19</v>
      </c>
      <c r="J2" cm="1" vm="10">
        <f t="array" aca="1" ref="J2:J190" ca="1">_xlfn.STOCKHISTORY("TSLA",DATE(2023,1,1),DATE(2023,10,3),0,0,1)</f>
        <v>108.1</v>
      </c>
      <c r="K2" cm="1" vm="11">
        <f t="array" aca="1" ref="K2:K190" ca="1">_xlfn.STOCKHISTORY("AMZN",DATE(2023,1,1),DATE(2023,10,3),0,0,1)</f>
        <v>85.82</v>
      </c>
    </row>
    <row r="3" spans="1:11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 vm="17">
        <f ca="1"/>
        <v>14.749000000000001</v>
      </c>
      <c r="G3" vm="18">
        <f ca="1"/>
        <v>136.38</v>
      </c>
      <c r="H3" vm="19">
        <f ca="1"/>
        <v>212.61</v>
      </c>
      <c r="I3" vm="20">
        <f ca="1"/>
        <v>180.13</v>
      </c>
      <c r="J3" vm="21">
        <f ca="1"/>
        <v>113.64</v>
      </c>
      <c r="K3" vm="22">
        <f ca="1"/>
        <v>85.14</v>
      </c>
    </row>
    <row r="4" spans="1:11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 vm="28">
        <f ca="1"/>
        <v>14.265000000000001</v>
      </c>
      <c r="G4" vm="29">
        <f ca="1"/>
        <v>135.35</v>
      </c>
      <c r="H4" vm="30">
        <f ca="1"/>
        <v>211.11</v>
      </c>
      <c r="I4" vm="31">
        <f ca="1"/>
        <v>178.8</v>
      </c>
      <c r="J4" vm="32">
        <f ca="1"/>
        <v>110.34</v>
      </c>
      <c r="K4" vm="33">
        <f ca="1"/>
        <v>83.12</v>
      </c>
    </row>
    <row r="5" spans="1:11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 vm="39">
        <f ca="1"/>
        <v>14.859</v>
      </c>
      <c r="G5" vm="40">
        <f ca="1"/>
        <v>137.94</v>
      </c>
      <c r="H5" vm="41">
        <f ca="1"/>
        <v>217.75</v>
      </c>
      <c r="I5" vm="42">
        <f ca="1"/>
        <v>180.25</v>
      </c>
      <c r="J5" vm="43">
        <f ca="1"/>
        <v>113.06</v>
      </c>
      <c r="K5" vm="44">
        <f ca="1"/>
        <v>86.08</v>
      </c>
    </row>
    <row r="6" spans="1:11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 vm="50">
        <f ca="1"/>
        <v>15.628</v>
      </c>
      <c r="G6" vm="51">
        <f ca="1"/>
        <v>137.37</v>
      </c>
      <c r="H6" vm="52">
        <f ca="1"/>
        <v>218.6</v>
      </c>
      <c r="I6" vm="53">
        <f ca="1"/>
        <v>175.58</v>
      </c>
      <c r="J6" vm="54">
        <f ca="1"/>
        <v>119.77</v>
      </c>
      <c r="K6" vm="55">
        <f ca="1"/>
        <v>87.36</v>
      </c>
    </row>
    <row r="7" spans="1:11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 vm="61">
        <f ca="1"/>
        <v>15.909000000000001</v>
      </c>
      <c r="G7" vm="62">
        <f ca="1"/>
        <v>138.6</v>
      </c>
      <c r="H7" vm="63">
        <f ca="1"/>
        <v>221.09</v>
      </c>
      <c r="I7" vm="64">
        <f ca="1"/>
        <v>175.16</v>
      </c>
      <c r="J7" vm="65">
        <f ca="1"/>
        <v>118.85</v>
      </c>
      <c r="K7" vm="66">
        <f ca="1"/>
        <v>89.87</v>
      </c>
    </row>
    <row r="8" spans="1:11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 vm="72">
        <f ca="1"/>
        <v>16.001000000000001</v>
      </c>
      <c r="G8" vm="73">
        <f ca="1"/>
        <v>139.63</v>
      </c>
      <c r="H8" vm="74">
        <f ca="1"/>
        <v>222.1</v>
      </c>
      <c r="I8" vm="75">
        <f ca="1"/>
        <v>174.88</v>
      </c>
      <c r="J8" vm="76">
        <f ca="1"/>
        <v>123.22</v>
      </c>
      <c r="K8" vm="77">
        <f ca="1"/>
        <v>95.09</v>
      </c>
    </row>
    <row r="9" spans="1:11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 vm="83">
        <f ca="1"/>
        <v>16.510999999999999</v>
      </c>
      <c r="G9" vm="84">
        <f ca="1"/>
        <v>139.49</v>
      </c>
      <c r="H9" vm="85">
        <f ca="1"/>
        <v>223.62</v>
      </c>
      <c r="I9" vm="86">
        <f ca="1"/>
        <v>174</v>
      </c>
      <c r="J9" vm="87">
        <f ca="1"/>
        <v>123.56</v>
      </c>
      <c r="K9" vm="88">
        <f ca="1"/>
        <v>95.27</v>
      </c>
    </row>
    <row r="10" spans="1:11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 vm="94">
        <f ca="1"/>
        <v>16.899000000000001</v>
      </c>
      <c r="G10" vm="95">
        <f ca="1"/>
        <v>143.01</v>
      </c>
      <c r="H10" vm="96">
        <f ca="1"/>
        <v>223.06</v>
      </c>
      <c r="I10" vm="97">
        <f ca="1"/>
        <v>173.43</v>
      </c>
      <c r="J10" vm="98">
        <f ca="1"/>
        <v>122.4</v>
      </c>
      <c r="K10" vm="99">
        <f ca="1"/>
        <v>98.12</v>
      </c>
    </row>
    <row r="11" spans="1:11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 vm="105">
        <f ca="1"/>
        <v>17.702000000000002</v>
      </c>
      <c r="G11" vm="106">
        <f ca="1"/>
        <v>140.80000000000001</v>
      </c>
      <c r="H11" vm="107">
        <f ca="1"/>
        <v>223</v>
      </c>
      <c r="I11" vm="108">
        <f ca="1"/>
        <v>172.36</v>
      </c>
      <c r="J11" vm="109">
        <f ca="1"/>
        <v>131.49</v>
      </c>
      <c r="K11" vm="110">
        <f ca="1"/>
        <v>96.05</v>
      </c>
    </row>
    <row r="12" spans="1:11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 vm="116">
        <f ca="1"/>
        <v>17.376999999999999</v>
      </c>
      <c r="G12" vm="117">
        <f ca="1"/>
        <v>136.57</v>
      </c>
      <c r="H12" vm="118">
        <f ca="1"/>
        <v>219.46</v>
      </c>
      <c r="I12" vm="119">
        <f ca="1"/>
        <v>169.76</v>
      </c>
      <c r="J12" vm="120">
        <f ca="1"/>
        <v>128.78</v>
      </c>
      <c r="K12" vm="121">
        <f ca="1"/>
        <v>95.46</v>
      </c>
    </row>
    <row r="13" spans="1:11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 vm="127">
        <f ca="1"/>
        <v>16.765000000000001</v>
      </c>
      <c r="G13" vm="128">
        <f ca="1"/>
        <v>134.75</v>
      </c>
      <c r="H13" vm="129">
        <f ca="1"/>
        <v>220.41</v>
      </c>
      <c r="I13" vm="130">
        <f ca="1"/>
        <v>169.53</v>
      </c>
      <c r="J13" vm="131">
        <f ca="1"/>
        <v>127.17</v>
      </c>
      <c r="K13" vm="132">
        <f ca="1"/>
        <v>93.68</v>
      </c>
    </row>
    <row r="14" spans="1:11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 vm="138">
        <f ca="1"/>
        <v>17.838999999999999</v>
      </c>
      <c r="G14" vm="139">
        <f ca="1"/>
        <v>135.08000000000001</v>
      </c>
      <c r="H14" vm="140">
        <f ca="1"/>
        <v>224.31</v>
      </c>
      <c r="I14" vm="141">
        <f ca="1"/>
        <v>168.74</v>
      </c>
      <c r="J14" vm="142">
        <f ca="1"/>
        <v>133.41999999999999</v>
      </c>
      <c r="K14" vm="143">
        <f ca="1"/>
        <v>97.25</v>
      </c>
    </row>
    <row r="15" spans="1:11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 vm="149">
        <f ca="1"/>
        <v>19.193000000000001</v>
      </c>
      <c r="G15" vm="150">
        <f ca="1"/>
        <v>137.27000000000001</v>
      </c>
      <c r="H15" vm="151">
        <f ca="1"/>
        <v>224.18</v>
      </c>
      <c r="I15" vm="152">
        <f ca="1"/>
        <v>168.31</v>
      </c>
      <c r="J15" vm="153">
        <f ca="1"/>
        <v>143.75</v>
      </c>
      <c r="K15" vm="154">
        <f ca="1"/>
        <v>97.52</v>
      </c>
    </row>
    <row r="16" spans="1:11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 vm="160">
        <f ca="1"/>
        <v>19.265000000000001</v>
      </c>
      <c r="G16" vm="161">
        <f ca="1"/>
        <v>138.44999999999999</v>
      </c>
      <c r="H16" vm="162">
        <f ca="1"/>
        <v>223.89</v>
      </c>
      <c r="I16" vm="152">
        <f ca="1"/>
        <v>168.31</v>
      </c>
      <c r="J16" vm="163">
        <f ca="1"/>
        <v>143.88999999999999</v>
      </c>
      <c r="K16" vm="164">
        <f ca="1"/>
        <v>96.32</v>
      </c>
    </row>
    <row r="17" spans="1:1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 vm="170">
        <f ca="1"/>
        <v>19.323</v>
      </c>
      <c r="G17" vm="171">
        <f ca="1"/>
        <v>139.12</v>
      </c>
      <c r="H17" vm="172">
        <f ca="1"/>
        <v>224.9</v>
      </c>
      <c r="I17" vm="173">
        <f ca="1"/>
        <v>169.51</v>
      </c>
      <c r="J17" vm="174">
        <f ca="1"/>
        <v>144.43</v>
      </c>
      <c r="K17" vm="175">
        <f ca="1"/>
        <v>97.18</v>
      </c>
    </row>
    <row r="18" spans="1:1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 vm="180">
        <f ca="1"/>
        <v>19.802</v>
      </c>
      <c r="G18" vm="181">
        <f ca="1"/>
        <v>139.97999999999999</v>
      </c>
      <c r="H18" vm="182">
        <f ca="1"/>
        <v>224.71</v>
      </c>
      <c r="I18" vm="183">
        <f ca="1"/>
        <v>168.89</v>
      </c>
      <c r="J18" vm="184">
        <f ca="1"/>
        <v>160.27000000000001</v>
      </c>
      <c r="K18" vm="185">
        <f ca="1"/>
        <v>99.22</v>
      </c>
    </row>
    <row r="19" spans="1:1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 vm="191">
        <f ca="1"/>
        <v>20.364999999999998</v>
      </c>
      <c r="G19" vm="192">
        <f ca="1"/>
        <v>140.32</v>
      </c>
      <c r="H19" vm="193">
        <f ca="1"/>
        <v>231.44</v>
      </c>
      <c r="I19" vm="194">
        <f ca="1"/>
        <v>168.23</v>
      </c>
      <c r="J19" vm="195">
        <f ca="1"/>
        <v>177.9</v>
      </c>
      <c r="K19" vm="196">
        <f ca="1"/>
        <v>102.24</v>
      </c>
    </row>
    <row r="20" spans="1:1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 vm="202">
        <f ca="1"/>
        <v>19.161999999999999</v>
      </c>
      <c r="G20" vm="203">
        <f ca="1"/>
        <v>139.13</v>
      </c>
      <c r="H20" vm="14">
        <f ca="1"/>
        <v>229.1</v>
      </c>
      <c r="I20" vm="204">
        <f ca="1"/>
        <v>162</v>
      </c>
      <c r="J20" vm="205">
        <f ca="1"/>
        <v>166.66</v>
      </c>
      <c r="K20" vm="206">
        <f ca="1"/>
        <v>100.55</v>
      </c>
    </row>
    <row r="21" spans="1:1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 vm="212">
        <f ca="1"/>
        <v>19.536999999999999</v>
      </c>
      <c r="G21" vm="213">
        <f ca="1"/>
        <v>139.96</v>
      </c>
      <c r="H21" vm="214">
        <f ca="1"/>
        <v>230.21</v>
      </c>
      <c r="I21" vm="215">
        <f ca="1"/>
        <v>163.41999999999999</v>
      </c>
      <c r="J21" vm="216">
        <f ca="1"/>
        <v>173.22</v>
      </c>
      <c r="K21" vm="217">
        <f ca="1"/>
        <v>103.13</v>
      </c>
    </row>
    <row r="22" spans="1:1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 vm="223">
        <f ca="1"/>
        <v>20.943000000000001</v>
      </c>
      <c r="G22" vm="224">
        <f ca="1"/>
        <v>139.59</v>
      </c>
      <c r="H22" vm="225">
        <f ca="1"/>
        <v>230.9</v>
      </c>
      <c r="I22" vm="226">
        <f ca="1"/>
        <v>164.92</v>
      </c>
      <c r="J22" vm="227">
        <f ca="1"/>
        <v>181.41</v>
      </c>
      <c r="K22" vm="228">
        <f ca="1"/>
        <v>105.15</v>
      </c>
    </row>
    <row r="23" spans="1:1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 vm="234">
        <f ca="1"/>
        <v>21.709</v>
      </c>
      <c r="G23" vm="235">
        <f ca="1"/>
        <v>138.94</v>
      </c>
      <c r="H23" vm="236">
        <f ca="1"/>
        <v>229.56</v>
      </c>
      <c r="I23" vm="237">
        <f ca="1"/>
        <v>165.54</v>
      </c>
      <c r="J23" vm="238">
        <f ca="1"/>
        <v>188.27</v>
      </c>
      <c r="K23" vm="239">
        <f ca="1"/>
        <v>112.91</v>
      </c>
    </row>
    <row r="24" spans="1:1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 vm="245">
        <f ca="1"/>
        <v>21.1</v>
      </c>
      <c r="G24" vm="246">
        <f ca="1"/>
        <v>141.09</v>
      </c>
      <c r="H24" vm="247">
        <f ca="1"/>
        <v>230.13</v>
      </c>
      <c r="I24" vm="248">
        <f ca="1"/>
        <v>164.61</v>
      </c>
      <c r="J24" vm="249">
        <f ca="1"/>
        <v>189.98</v>
      </c>
      <c r="K24" vm="250">
        <f ca="1"/>
        <v>103.39</v>
      </c>
    </row>
    <row r="25" spans="1:1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 vm="256">
        <f ca="1"/>
        <v>21.088999999999999</v>
      </c>
      <c r="G25" vm="257">
        <f ca="1"/>
        <v>141.91999999999999</v>
      </c>
      <c r="H25" vm="258">
        <f ca="1"/>
        <v>229.44</v>
      </c>
      <c r="I25" vm="259">
        <f ca="1"/>
        <v>163.36000000000001</v>
      </c>
      <c r="J25" vm="260">
        <f ca="1"/>
        <v>194.76</v>
      </c>
      <c r="K25" vm="261">
        <f ca="1"/>
        <v>102.18</v>
      </c>
    </row>
    <row r="26" spans="1:1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 vm="267">
        <f ca="1"/>
        <v>22.172999999999998</v>
      </c>
      <c r="G26" vm="268">
        <f ca="1"/>
        <v>143.65</v>
      </c>
      <c r="H26" vm="269">
        <f ca="1"/>
        <v>231.32</v>
      </c>
      <c r="I26" vm="270">
        <f ca="1"/>
        <v>163.4</v>
      </c>
      <c r="J26" vm="271">
        <f ca="1"/>
        <v>196.81</v>
      </c>
      <c r="K26" vm="272">
        <f ca="1"/>
        <v>102.11</v>
      </c>
    </row>
    <row r="27" spans="1:1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 vm="277">
        <f ca="1"/>
        <v>22.204999999999998</v>
      </c>
      <c r="G27" vm="278">
        <f ca="1"/>
        <v>142.63999999999999</v>
      </c>
      <c r="H27" vm="279">
        <f ca="1"/>
        <v>230.2</v>
      </c>
      <c r="I27" vm="280">
        <f ca="1"/>
        <v>163.61000000000001</v>
      </c>
      <c r="J27" vm="281">
        <f ca="1"/>
        <v>201.29</v>
      </c>
      <c r="K27" vm="282">
        <f ca="1"/>
        <v>100.05</v>
      </c>
    </row>
    <row r="28" spans="1:1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 vm="288">
        <f ca="1"/>
        <v>22.337</v>
      </c>
      <c r="G28" vm="289">
        <f ca="1"/>
        <v>140.41999999999999</v>
      </c>
      <c r="H28" vm="290">
        <f ca="1"/>
        <v>229.35</v>
      </c>
      <c r="I28" vm="291">
        <f ca="1"/>
        <v>161.4</v>
      </c>
      <c r="J28" vm="292">
        <f ca="1"/>
        <v>207.32</v>
      </c>
      <c r="K28" vm="293">
        <f ca="1"/>
        <v>98.24</v>
      </c>
    </row>
    <row r="29" spans="1:1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 vm="299">
        <f ca="1"/>
        <v>21.265000000000001</v>
      </c>
      <c r="G29" vm="300">
        <f ca="1"/>
        <v>141.04</v>
      </c>
      <c r="H29" vm="301">
        <f ca="1"/>
        <v>227.2</v>
      </c>
      <c r="I29" vm="302">
        <f ca="1"/>
        <v>162.15</v>
      </c>
      <c r="J29" vm="303">
        <f ca="1"/>
        <v>196.89</v>
      </c>
      <c r="K29" vm="304">
        <f ca="1"/>
        <v>97.61</v>
      </c>
    </row>
    <row r="30" spans="1:1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 vm="310">
        <f ca="1"/>
        <v>21.788</v>
      </c>
      <c r="G30" vm="311">
        <f ca="1"/>
        <v>142.57</v>
      </c>
      <c r="H30" vm="312">
        <f ca="1"/>
        <v>228.88</v>
      </c>
      <c r="I30" vm="313">
        <f ca="1"/>
        <v>162.75</v>
      </c>
      <c r="J30" vm="314">
        <f ca="1"/>
        <v>194.64</v>
      </c>
      <c r="K30" vm="315">
        <f ca="1"/>
        <v>99.54</v>
      </c>
    </row>
    <row r="31" spans="1:1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 vm="321">
        <f ca="1"/>
        <v>22.971</v>
      </c>
      <c r="G31" vm="322">
        <f ca="1"/>
        <v>143.19999999999999</v>
      </c>
      <c r="H31" vm="323">
        <f ca="1"/>
        <v>229.39</v>
      </c>
      <c r="I31" vm="324">
        <f ca="1"/>
        <v>162.04</v>
      </c>
      <c r="J31" vm="325">
        <f ca="1"/>
        <v>209.25</v>
      </c>
      <c r="K31" vm="326">
        <f ca="1"/>
        <v>99.7</v>
      </c>
    </row>
    <row r="32" spans="1:1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 vm="331">
        <f ca="1"/>
        <v>22.763999999999999</v>
      </c>
      <c r="G32" vm="332">
        <f ca="1"/>
        <v>143.80000000000001</v>
      </c>
      <c r="H32" vm="333">
        <f ca="1"/>
        <v>228.92</v>
      </c>
      <c r="I32" vm="334">
        <f ca="1"/>
        <v>159.37</v>
      </c>
      <c r="J32" vm="335">
        <f ca="1"/>
        <v>214.24</v>
      </c>
      <c r="K32" vm="336">
        <f ca="1"/>
        <v>101.16</v>
      </c>
    </row>
    <row r="33" spans="1:1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 vm="342">
        <f ca="1"/>
        <v>22.001999999999999</v>
      </c>
      <c r="G33" vm="343">
        <f ca="1"/>
        <v>141.82</v>
      </c>
      <c r="H33" vm="344">
        <f ca="1"/>
        <v>225.83</v>
      </c>
      <c r="I33" vm="345">
        <f ca="1"/>
        <v>158.24</v>
      </c>
      <c r="J33" vm="346">
        <f ca="1"/>
        <v>202.04</v>
      </c>
      <c r="K33" vm="347">
        <f ca="1"/>
        <v>98.15</v>
      </c>
    </row>
    <row r="34" spans="1:1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 vm="353">
        <f ca="1"/>
        <v>21.388000000000002</v>
      </c>
      <c r="G34" vm="354">
        <f ca="1"/>
        <v>142.24</v>
      </c>
      <c r="H34" vm="355">
        <f ca="1"/>
        <v>223.56</v>
      </c>
      <c r="I34" vm="356">
        <f ca="1"/>
        <v>160.38999999999999</v>
      </c>
      <c r="J34" vm="357">
        <f ca="1"/>
        <v>208.31</v>
      </c>
      <c r="K34" vm="358">
        <f ca="1"/>
        <v>97.2</v>
      </c>
    </row>
    <row r="35" spans="1:1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 vm="364">
        <f ca="1"/>
        <v>20.655000000000001</v>
      </c>
      <c r="G35" vm="73">
        <f ca="1"/>
        <v>139.63</v>
      </c>
      <c r="H35" vm="365">
        <f ca="1"/>
        <v>220.62</v>
      </c>
      <c r="I35" vm="366">
        <f ca="1"/>
        <v>158</v>
      </c>
      <c r="J35" vm="367">
        <f ca="1"/>
        <v>197.37</v>
      </c>
      <c r="K35" vm="368">
        <f ca="1"/>
        <v>94.58</v>
      </c>
    </row>
    <row r="36" spans="1:1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 vm="374">
        <f ca="1"/>
        <v>20.754000000000001</v>
      </c>
      <c r="G36" vm="375">
        <f ca="1"/>
        <v>138.56</v>
      </c>
      <c r="H36" vm="376">
        <f ca="1"/>
        <v>220.02</v>
      </c>
      <c r="I36" vm="377">
        <f ca="1"/>
        <v>157.78</v>
      </c>
      <c r="J36" vm="378">
        <f ca="1"/>
        <v>200.86</v>
      </c>
      <c r="K36" vm="379">
        <f ca="1"/>
        <v>95.79</v>
      </c>
    </row>
    <row r="37" spans="1:1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 vm="385">
        <f ca="1"/>
        <v>23.664000000000001</v>
      </c>
      <c r="G37" vm="386">
        <f ca="1"/>
        <v>139.66999999999999</v>
      </c>
      <c r="H37" vm="387">
        <f ca="1"/>
        <v>221.13</v>
      </c>
      <c r="I37" vm="388">
        <f ca="1"/>
        <v>157.72999999999999</v>
      </c>
      <c r="J37" vm="389">
        <f ca="1"/>
        <v>202.07</v>
      </c>
      <c r="K37" vm="390">
        <f ca="1"/>
        <v>95.82</v>
      </c>
    </row>
    <row r="38" spans="1:1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 vm="396">
        <f ca="1"/>
        <v>23.286000000000001</v>
      </c>
      <c r="G38" vm="397">
        <f ca="1"/>
        <v>140.93</v>
      </c>
      <c r="H38" vm="398">
        <f ca="1"/>
        <v>219.55</v>
      </c>
      <c r="I38" vm="399">
        <f ca="1"/>
        <v>155.97</v>
      </c>
      <c r="J38" vm="400">
        <f ca="1"/>
        <v>196.88</v>
      </c>
      <c r="K38" vm="401">
        <f ca="1"/>
        <v>93.5</v>
      </c>
    </row>
    <row r="39" spans="1:1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 vm="406">
        <f ca="1"/>
        <v>23.501000000000001</v>
      </c>
      <c r="G39" vm="407">
        <f ca="1"/>
        <v>142.16</v>
      </c>
      <c r="H39" vm="408">
        <f ca="1"/>
        <v>220.35</v>
      </c>
      <c r="I39" vm="409">
        <f ca="1"/>
        <v>155.63</v>
      </c>
      <c r="J39" vm="410">
        <f ca="1"/>
        <v>207.63</v>
      </c>
      <c r="K39" vm="411">
        <f ca="1"/>
        <v>93.76</v>
      </c>
    </row>
    <row r="40" spans="1:1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 vm="417">
        <f ca="1"/>
        <v>23.216000000000001</v>
      </c>
      <c r="G40" vm="418">
        <f ca="1"/>
        <v>143.35</v>
      </c>
      <c r="H40" vm="419">
        <f ca="1"/>
        <v>219.94</v>
      </c>
      <c r="I40" vm="420">
        <f ca="1"/>
        <v>153.26</v>
      </c>
      <c r="J40" vm="421">
        <f ca="1"/>
        <v>205.71</v>
      </c>
      <c r="K40" vm="422">
        <f ca="1"/>
        <v>94.23</v>
      </c>
    </row>
    <row r="41" spans="1:1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 vm="428">
        <f ca="1"/>
        <v>22.698</v>
      </c>
      <c r="G41" vm="429">
        <f ca="1"/>
        <v>142.55000000000001</v>
      </c>
      <c r="H41" vm="430">
        <f ca="1"/>
        <v>218.36</v>
      </c>
      <c r="I41" vm="431">
        <f ca="1"/>
        <v>152.57</v>
      </c>
      <c r="J41" vm="432">
        <f ca="1"/>
        <v>202.77</v>
      </c>
      <c r="K41" vm="433">
        <f ca="1"/>
        <v>92.17</v>
      </c>
    </row>
    <row r="42" spans="1:1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 vm="439">
        <f ca="1"/>
        <v>23.314</v>
      </c>
      <c r="G42" vm="440">
        <f ca="1"/>
        <v>141.07</v>
      </c>
      <c r="H42" vm="441">
        <f ca="1"/>
        <v>219.06</v>
      </c>
      <c r="I42" vm="442">
        <f ca="1"/>
        <v>152.44999999999999</v>
      </c>
      <c r="J42" vm="443">
        <f ca="1"/>
        <v>190.9</v>
      </c>
      <c r="K42" vm="444">
        <f ca="1"/>
        <v>92.13</v>
      </c>
    </row>
    <row r="43" spans="1:1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 vm="450">
        <f ca="1"/>
        <v>23.89</v>
      </c>
      <c r="G43" vm="451">
        <f ca="1"/>
        <v>143.66</v>
      </c>
      <c r="H43" vm="452">
        <f ca="1"/>
        <v>223.77</v>
      </c>
      <c r="I43" vm="453">
        <f ca="1"/>
        <v>154.02000000000001</v>
      </c>
      <c r="J43" vm="454">
        <f ca="1"/>
        <v>197.79</v>
      </c>
      <c r="K43" vm="455">
        <f ca="1"/>
        <v>94.9</v>
      </c>
    </row>
    <row r="44" spans="1:1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 vm="461">
        <f ca="1"/>
        <v>23.553999999999998</v>
      </c>
      <c r="G44" vm="462">
        <f ca="1"/>
        <v>142.82</v>
      </c>
      <c r="H44" vm="463">
        <f ca="1"/>
        <v>226.75</v>
      </c>
      <c r="I44" vm="464">
        <f ca="1"/>
        <v>155.56</v>
      </c>
      <c r="J44" vm="465">
        <f ca="1"/>
        <v>193.81</v>
      </c>
      <c r="K44" vm="466">
        <f ca="1"/>
        <v>93.75</v>
      </c>
    </row>
    <row r="45" spans="1:1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 vm="472">
        <f ca="1"/>
        <v>23.288</v>
      </c>
      <c r="G45" vm="473">
        <f ca="1"/>
        <v>138.62</v>
      </c>
      <c r="H45" vm="474">
        <f ca="1"/>
        <v>223.17</v>
      </c>
      <c r="I45" vm="475">
        <f ca="1"/>
        <v>154.09</v>
      </c>
      <c r="J45" vm="476">
        <f ca="1"/>
        <v>187.71</v>
      </c>
      <c r="K45" vm="477">
        <f ca="1"/>
        <v>93.55</v>
      </c>
    </row>
    <row r="46" spans="1:1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 vm="483">
        <f ca="1"/>
        <v>24.181000000000001</v>
      </c>
      <c r="G46" vm="484">
        <f ca="1"/>
        <v>137.80000000000001</v>
      </c>
      <c r="H46" vm="485">
        <f ca="1"/>
        <v>222.19</v>
      </c>
      <c r="I46" vm="486">
        <f ca="1"/>
        <v>152.96</v>
      </c>
      <c r="J46" vm="487">
        <f ca="1"/>
        <v>182</v>
      </c>
      <c r="K46" vm="488">
        <f ca="1"/>
        <v>93.92</v>
      </c>
    </row>
    <row r="47" spans="1:1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 vm="494">
        <f ca="1"/>
        <v>23.436</v>
      </c>
      <c r="G47" vm="495">
        <f ca="1"/>
        <v>130.34</v>
      </c>
      <c r="H47" vm="496">
        <f ca="1"/>
        <v>220.01</v>
      </c>
      <c r="I47" vm="497">
        <f ca="1"/>
        <v>151.24</v>
      </c>
      <c r="J47" vm="498">
        <f ca="1"/>
        <v>172.92</v>
      </c>
      <c r="K47" vm="499">
        <f ca="1"/>
        <v>92.25</v>
      </c>
    </row>
    <row r="48" spans="1:1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 vm="505">
        <f ca="1"/>
        <v>22.965</v>
      </c>
      <c r="G48" vm="506">
        <f ca="1"/>
        <v>133.65</v>
      </c>
      <c r="H48" vm="507">
        <f ca="1"/>
        <v>216.14</v>
      </c>
      <c r="I48" vm="508">
        <f ca="1"/>
        <v>151.61000000000001</v>
      </c>
      <c r="J48" vm="509">
        <f ca="1"/>
        <v>173.44</v>
      </c>
      <c r="K48" vm="510">
        <f ca="1"/>
        <v>90.73</v>
      </c>
    </row>
    <row r="49" spans="1:1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 vm="516">
        <f ca="1"/>
        <v>22.966000000000001</v>
      </c>
      <c r="G49" vm="517">
        <f ca="1"/>
        <v>131.25</v>
      </c>
      <c r="H49" vm="518">
        <f ca="1"/>
        <v>214.47</v>
      </c>
      <c r="I49" vm="519">
        <f ca="1"/>
        <v>153.06</v>
      </c>
      <c r="J49" vm="520">
        <f ca="1"/>
        <v>174.48</v>
      </c>
      <c r="K49" vm="521">
        <f ca="1"/>
        <v>92.43</v>
      </c>
    </row>
    <row r="50" spans="1:1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 vm="527">
        <f ca="1"/>
        <v>24.062999999999999</v>
      </c>
      <c r="G50" vm="528">
        <f ca="1"/>
        <v>134.62</v>
      </c>
      <c r="H50" vm="529">
        <f ca="1"/>
        <v>218.66</v>
      </c>
      <c r="I50" vm="530">
        <f ca="1"/>
        <v>153.91999999999999</v>
      </c>
      <c r="J50" vm="531">
        <f ca="1"/>
        <v>183.26</v>
      </c>
      <c r="K50" vm="532">
        <f ca="1"/>
        <v>94.88</v>
      </c>
    </row>
    <row r="51" spans="1:1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 vm="538">
        <f ca="1"/>
        <v>24.228000000000002</v>
      </c>
      <c r="G51" vm="539">
        <f ca="1"/>
        <v>128.26</v>
      </c>
      <c r="H51" vm="540">
        <f ca="1"/>
        <v>216.37</v>
      </c>
      <c r="I51" vm="541">
        <f ca="1"/>
        <v>154.35</v>
      </c>
      <c r="J51" vm="542">
        <f ca="1"/>
        <v>180.45</v>
      </c>
      <c r="K51" vm="543">
        <f ca="1"/>
        <v>96.2</v>
      </c>
    </row>
    <row r="52" spans="1:1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 vm="549">
        <f ca="1"/>
        <v>25.541</v>
      </c>
      <c r="G52" vm="550">
        <f ca="1"/>
        <v>130.75</v>
      </c>
      <c r="H52" vm="551">
        <f ca="1"/>
        <v>217.45</v>
      </c>
      <c r="I52" vm="552">
        <f ca="1"/>
        <v>154.03</v>
      </c>
      <c r="J52" vm="553">
        <f ca="1"/>
        <v>184.13</v>
      </c>
      <c r="K52" vm="554">
        <f ca="1"/>
        <v>100.04</v>
      </c>
    </row>
    <row r="53" spans="1:1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 vm="560">
        <f ca="1"/>
        <v>25.725000000000001</v>
      </c>
      <c r="G53" vm="561">
        <f ca="1"/>
        <v>125.81</v>
      </c>
      <c r="H53" vm="562">
        <f ca="1"/>
        <v>217.39</v>
      </c>
      <c r="I53" vm="563">
        <f ca="1"/>
        <v>152.38</v>
      </c>
      <c r="J53" vm="20">
        <f ca="1"/>
        <v>180.13</v>
      </c>
      <c r="K53" vm="564">
        <f ca="1"/>
        <v>98.95</v>
      </c>
    </row>
    <row r="54" spans="1:1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 vm="570">
        <f ca="1"/>
        <v>25.9</v>
      </c>
      <c r="G54" vm="571">
        <f ca="1"/>
        <v>127.14</v>
      </c>
      <c r="H54" vm="572">
        <f ca="1"/>
        <v>218.15</v>
      </c>
      <c r="I54" vm="573">
        <f ca="1"/>
        <v>153.88999999999999</v>
      </c>
      <c r="J54" vm="574">
        <f ca="1"/>
        <v>183.25</v>
      </c>
      <c r="K54" vm="575">
        <f ca="1"/>
        <v>97.71</v>
      </c>
    </row>
    <row r="55" spans="1:1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 vm="581">
        <f ca="1"/>
        <v>26.199000000000002</v>
      </c>
      <c r="G55" vm="582">
        <f ca="1"/>
        <v>130.55000000000001</v>
      </c>
      <c r="H55" vm="583">
        <f ca="1"/>
        <v>221.95</v>
      </c>
      <c r="I55" vm="573">
        <f ca="1"/>
        <v>153.88999999999999</v>
      </c>
      <c r="J55" vm="584">
        <f ca="1"/>
        <v>197.58</v>
      </c>
      <c r="K55" vm="585">
        <f ca="1"/>
        <v>100.61</v>
      </c>
    </row>
    <row r="56" spans="1:1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 vm="591">
        <f ca="1"/>
        <v>26.468</v>
      </c>
      <c r="G56" vm="592">
        <f ca="1"/>
        <v>127.18</v>
      </c>
      <c r="H56" vm="593">
        <f ca="1"/>
        <v>220.04</v>
      </c>
      <c r="I56" vm="594">
        <f ca="1"/>
        <v>151.05000000000001</v>
      </c>
      <c r="J56" vm="595">
        <f ca="1"/>
        <v>191.15</v>
      </c>
      <c r="K56" vm="596">
        <f ca="1"/>
        <v>98.7</v>
      </c>
    </row>
    <row r="57" spans="1:1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 vm="602">
        <f ca="1"/>
        <v>27.190999999999999</v>
      </c>
      <c r="G57" vm="603">
        <f ca="1"/>
        <v>126.84</v>
      </c>
      <c r="H57" vm="604">
        <f ca="1"/>
        <v>222.59</v>
      </c>
      <c r="I57" vm="605">
        <f ca="1"/>
        <v>151.13</v>
      </c>
      <c r="J57" vm="606">
        <f ca="1"/>
        <v>192.22</v>
      </c>
      <c r="K57" vm="607">
        <f ca="1"/>
        <v>98.71</v>
      </c>
    </row>
    <row r="58" spans="1:1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 vm="613">
        <f ca="1"/>
        <v>26.779</v>
      </c>
      <c r="G58" vm="614">
        <f ca="1"/>
        <v>124.91</v>
      </c>
      <c r="H58" vm="615">
        <f ca="1"/>
        <v>221.04</v>
      </c>
      <c r="I58" vm="616">
        <f ca="1"/>
        <v>152.65</v>
      </c>
      <c r="J58" vm="617">
        <f ca="1"/>
        <v>190.41</v>
      </c>
      <c r="K58" vm="618">
        <f ca="1"/>
        <v>98.13</v>
      </c>
    </row>
    <row r="59" spans="1:1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 vm="624">
        <f ca="1"/>
        <v>26.530999999999999</v>
      </c>
      <c r="G59" vm="625">
        <f ca="1"/>
        <v>128.49</v>
      </c>
      <c r="H59" vm="626">
        <f ca="1"/>
        <v>221.81</v>
      </c>
      <c r="I59" vm="627">
        <f ca="1"/>
        <v>153.30000000000001</v>
      </c>
      <c r="J59" vm="628">
        <f ca="1"/>
        <v>191.81</v>
      </c>
      <c r="K59" vm="629">
        <f ca="1"/>
        <v>98.04</v>
      </c>
    </row>
    <row r="60" spans="1:1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 vm="635">
        <f ca="1"/>
        <v>26.41</v>
      </c>
      <c r="G60" vm="636">
        <f ca="1"/>
        <v>128.88</v>
      </c>
      <c r="H60" vm="637">
        <f ca="1"/>
        <v>220.33</v>
      </c>
      <c r="I60" vm="638">
        <f ca="1"/>
        <v>151.82</v>
      </c>
      <c r="J60" vm="639">
        <f ca="1"/>
        <v>189.19</v>
      </c>
      <c r="K60" vm="640">
        <f ca="1"/>
        <v>97.24</v>
      </c>
    </row>
    <row r="61" spans="1:1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 vm="646">
        <f ca="1"/>
        <v>26.984000000000002</v>
      </c>
      <c r="G61" vm="647">
        <f ca="1"/>
        <v>129.13999999999999</v>
      </c>
      <c r="H61" vm="648">
        <f ca="1"/>
        <v>223.3</v>
      </c>
      <c r="I61" vm="649">
        <f ca="1"/>
        <v>153.31</v>
      </c>
      <c r="J61" vm="650">
        <f ca="1"/>
        <v>193.88</v>
      </c>
      <c r="K61" vm="651">
        <f ca="1"/>
        <v>100.25</v>
      </c>
    </row>
    <row r="62" spans="1:1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 vm="657">
        <f ca="1"/>
        <v>27.382999999999999</v>
      </c>
      <c r="G62" vm="658">
        <f ca="1"/>
        <v>128.75</v>
      </c>
      <c r="H62" vm="659">
        <f ca="1"/>
        <v>222.36</v>
      </c>
      <c r="I62" vm="660">
        <f ca="1"/>
        <v>153.43</v>
      </c>
      <c r="J62" vm="661">
        <f ca="1"/>
        <v>195.28</v>
      </c>
      <c r="K62" vm="662">
        <f ca="1"/>
        <v>102</v>
      </c>
    </row>
    <row r="63" spans="1:1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 vm="668">
        <f ca="1"/>
        <v>27.777000000000001</v>
      </c>
      <c r="G63" vm="669">
        <f ca="1"/>
        <v>130.31</v>
      </c>
      <c r="H63" vm="670">
        <f ca="1"/>
        <v>225.46</v>
      </c>
      <c r="I63" vm="556">
        <f ca="1"/>
        <v>155</v>
      </c>
      <c r="J63" vm="671">
        <f ca="1"/>
        <v>207.46</v>
      </c>
      <c r="K63" vm="672">
        <f ca="1"/>
        <v>103.29</v>
      </c>
    </row>
    <row r="64" spans="1:1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 vm="678">
        <f ca="1"/>
        <v>27.965</v>
      </c>
      <c r="G64" vm="679">
        <f ca="1"/>
        <v>130.16</v>
      </c>
      <c r="H64" vm="680">
        <f ca="1"/>
        <v>229</v>
      </c>
      <c r="I64" vm="681">
        <f ca="1"/>
        <v>156.85</v>
      </c>
      <c r="J64" vm="682">
        <f ca="1"/>
        <v>194.77</v>
      </c>
      <c r="K64" vm="683">
        <f ca="1"/>
        <v>102.41</v>
      </c>
    </row>
    <row r="65" spans="1:1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 vm="689">
        <f ca="1"/>
        <v>27.452999999999999</v>
      </c>
      <c r="G65" vm="690">
        <f ca="1"/>
        <v>128.41999999999999</v>
      </c>
      <c r="H65" vm="691">
        <f ca="1"/>
        <v>227.66</v>
      </c>
      <c r="I65" vm="692">
        <f ca="1"/>
        <v>158.49</v>
      </c>
      <c r="J65" vm="693">
        <f ca="1"/>
        <v>192.58</v>
      </c>
      <c r="K65" vm="694">
        <f ca="1"/>
        <v>103.95</v>
      </c>
    </row>
    <row r="66" spans="1:1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 vm="700">
        <f ca="1"/>
        <v>26.881</v>
      </c>
      <c r="G66" vm="701">
        <f ca="1"/>
        <v>127.61</v>
      </c>
      <c r="H66" vm="702">
        <f ca="1"/>
        <v>228.17</v>
      </c>
      <c r="I66" vm="703">
        <f ca="1"/>
        <v>165.61</v>
      </c>
      <c r="J66" vm="704">
        <f ca="1"/>
        <v>185.52</v>
      </c>
      <c r="K66" vm="705">
        <f ca="1"/>
        <v>101.1</v>
      </c>
    </row>
    <row r="67" spans="1:1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 vm="711">
        <f ca="1"/>
        <v>27.036999999999999</v>
      </c>
      <c r="G67" vm="712">
        <f ca="1"/>
        <v>127.47</v>
      </c>
      <c r="H67" vm="713">
        <f ca="1"/>
        <v>225.99</v>
      </c>
      <c r="I67" vm="714">
        <f ca="1"/>
        <v>165.15</v>
      </c>
      <c r="J67" vm="715">
        <f ca="1"/>
        <v>185.06</v>
      </c>
      <c r="K67" vm="716">
        <f ca="1"/>
        <v>102.06</v>
      </c>
    </row>
    <row r="68" spans="1:1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 vm="722">
        <f ca="1"/>
        <v>27.579000000000001</v>
      </c>
      <c r="G68" vm="723">
        <f ca="1"/>
        <v>127.89</v>
      </c>
      <c r="H68" vm="724">
        <f ca="1"/>
        <v>226.43</v>
      </c>
      <c r="I68" vm="725">
        <f ca="1"/>
        <v>164.32</v>
      </c>
      <c r="J68" vm="471">
        <f ca="1"/>
        <v>184.51</v>
      </c>
      <c r="K68" vm="726">
        <f ca="1"/>
        <v>102.17</v>
      </c>
    </row>
    <row r="69" spans="1:1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 vm="732">
        <f ca="1"/>
        <v>27.169</v>
      </c>
      <c r="G69" vm="733">
        <f ca="1"/>
        <v>128.52000000000001</v>
      </c>
      <c r="H69" vm="734">
        <f ca="1"/>
        <v>228.45</v>
      </c>
      <c r="I69" vm="735">
        <f ca="1"/>
        <v>164.27</v>
      </c>
      <c r="J69" vm="736">
        <f ca="1"/>
        <v>186.79</v>
      </c>
      <c r="K69" vm="737">
        <f ca="1"/>
        <v>99.92</v>
      </c>
    </row>
    <row r="70" spans="1:1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 vm="743">
        <f ca="1"/>
        <v>26.495000000000001</v>
      </c>
      <c r="G70" vm="744">
        <f ca="1"/>
        <v>128.5</v>
      </c>
      <c r="H70" vm="745">
        <f ca="1"/>
        <v>227.81</v>
      </c>
      <c r="I70" vm="746">
        <f ca="1"/>
        <v>163.92</v>
      </c>
      <c r="J70" vm="747">
        <f ca="1"/>
        <v>180.54</v>
      </c>
      <c r="K70" vm="748">
        <f ca="1"/>
        <v>97.83</v>
      </c>
    </row>
    <row r="71" spans="1:1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 vm="753">
        <f ca="1"/>
        <v>26.463000000000001</v>
      </c>
      <c r="G71" vm="754">
        <f ca="1"/>
        <v>128.99</v>
      </c>
      <c r="H71" vm="755">
        <f ca="1"/>
        <v>232.69</v>
      </c>
      <c r="I71" vm="756">
        <f ca="1"/>
        <v>166.11</v>
      </c>
      <c r="J71" vm="757">
        <f ca="1"/>
        <v>185.9</v>
      </c>
      <c r="K71" vm="758">
        <f ca="1"/>
        <v>102.4</v>
      </c>
    </row>
    <row r="72" spans="1:1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 vm="764">
        <f ca="1"/>
        <v>26.757999999999999</v>
      </c>
      <c r="G72" vm="765">
        <f ca="1"/>
        <v>138.72999999999999</v>
      </c>
      <c r="H72" vm="766">
        <f ca="1"/>
        <v>234.02</v>
      </c>
      <c r="I72" vm="767">
        <f ca="1"/>
        <v>165.84</v>
      </c>
      <c r="J72" vm="768">
        <f ca="1"/>
        <v>185</v>
      </c>
      <c r="K72" vm="769">
        <f ca="1"/>
        <v>102.51</v>
      </c>
    </row>
    <row r="73" spans="1:1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 vm="775">
        <f ca="1"/>
        <v>27.001999999999999</v>
      </c>
      <c r="G73" vm="776">
        <f ca="1"/>
        <v>139.83000000000001</v>
      </c>
      <c r="H73" vm="777">
        <f ca="1"/>
        <v>233.48</v>
      </c>
      <c r="I73" vm="778">
        <f ca="1"/>
        <v>165.67</v>
      </c>
      <c r="J73" vm="779">
        <f ca="1"/>
        <v>187.04</v>
      </c>
      <c r="K73" vm="780">
        <f ca="1"/>
        <v>102.74</v>
      </c>
    </row>
    <row r="74" spans="1:1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 vm="786">
        <f ca="1"/>
        <v>27.667000000000002</v>
      </c>
      <c r="G74" vm="787">
        <f ca="1"/>
        <v>141.4</v>
      </c>
      <c r="H74" vm="788">
        <f ca="1"/>
        <v>233.6</v>
      </c>
      <c r="I74" vm="789">
        <f ca="1"/>
        <v>161.01</v>
      </c>
      <c r="J74" vm="790">
        <f ca="1"/>
        <v>184.31</v>
      </c>
      <c r="K74" vm="791">
        <f ca="1"/>
        <v>102.3</v>
      </c>
    </row>
    <row r="75" spans="1:1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 vm="797">
        <f ca="1"/>
        <v>27.931000000000001</v>
      </c>
      <c r="G75" vm="798">
        <f ca="1"/>
        <v>141.22</v>
      </c>
      <c r="H75" vm="799">
        <f ca="1"/>
        <v>232.57</v>
      </c>
      <c r="I75" vm="800">
        <f ca="1"/>
        <v>162.53</v>
      </c>
      <c r="J75" vm="801">
        <f ca="1"/>
        <v>180.59</v>
      </c>
      <c r="K75" vm="802">
        <f ca="1"/>
        <v>104.3</v>
      </c>
    </row>
    <row r="76" spans="1:1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 vm="807">
        <f ca="1"/>
        <v>27.103999999999999</v>
      </c>
      <c r="G76" vm="808">
        <f ca="1"/>
        <v>140.81</v>
      </c>
      <c r="H76" vm="809">
        <f ca="1"/>
        <v>234.6</v>
      </c>
      <c r="I76" vm="810">
        <f ca="1"/>
        <v>163.58000000000001</v>
      </c>
      <c r="J76" vm="811">
        <f ca="1"/>
        <v>162.99</v>
      </c>
      <c r="K76" vm="812">
        <f ca="1"/>
        <v>103.81</v>
      </c>
    </row>
    <row r="77" spans="1:1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 vm="818">
        <f ca="1"/>
        <v>27.119</v>
      </c>
      <c r="G77" vm="819">
        <f ca="1"/>
        <v>140.54</v>
      </c>
      <c r="H77" vm="820">
        <f ca="1"/>
        <v>234.05</v>
      </c>
      <c r="I77" vm="821">
        <f ca="1"/>
        <v>162.69</v>
      </c>
      <c r="J77" vm="822">
        <f ca="1"/>
        <v>165.08</v>
      </c>
      <c r="K77" vm="823">
        <f ca="1"/>
        <v>106.96</v>
      </c>
    </row>
    <row r="78" spans="1:1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 vm="828">
        <f ca="1"/>
        <v>27.042000000000002</v>
      </c>
      <c r="G78" vm="829">
        <f ca="1"/>
        <v>140.72999999999999</v>
      </c>
      <c r="H78" vm="830">
        <f ca="1"/>
        <v>232.76</v>
      </c>
      <c r="I78" vm="831">
        <f ca="1"/>
        <v>163.68</v>
      </c>
      <c r="J78" vm="832">
        <f ca="1"/>
        <v>162.55000000000001</v>
      </c>
      <c r="K78" vm="833">
        <f ca="1"/>
        <v>106.21</v>
      </c>
    </row>
    <row r="79" spans="1:1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 vm="839">
        <f ca="1"/>
        <v>26.241</v>
      </c>
      <c r="G79" vm="840">
        <f ca="1"/>
        <v>137.66999999999999</v>
      </c>
      <c r="H79" vm="841">
        <f ca="1"/>
        <v>229.59</v>
      </c>
      <c r="I79" vm="842">
        <f ca="1"/>
        <v>165.18</v>
      </c>
      <c r="J79" vm="843">
        <f ca="1"/>
        <v>160.66999999999999</v>
      </c>
      <c r="K79" vm="844">
        <f ca="1"/>
        <v>102.57</v>
      </c>
    </row>
    <row r="80" spans="1:1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 vm="849">
        <f ca="1"/>
        <v>26.956</v>
      </c>
      <c r="G80" vm="850">
        <f ca="1"/>
        <v>135.22999999999999</v>
      </c>
      <c r="H80" vm="851">
        <f ca="1"/>
        <v>228.15</v>
      </c>
      <c r="I80" vm="852">
        <f ca="1"/>
        <v>162.62</v>
      </c>
      <c r="J80" vm="853">
        <f ca="1"/>
        <v>153.75</v>
      </c>
      <c r="K80" vm="854">
        <f ca="1"/>
        <v>104.98</v>
      </c>
    </row>
    <row r="81" spans="1:1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 vm="860">
        <f ca="1"/>
        <v>27.225999999999999</v>
      </c>
      <c r="G81" vm="861">
        <f ca="1"/>
        <v>137.05000000000001</v>
      </c>
      <c r="H81" vm="862">
        <f ca="1"/>
        <v>229.01</v>
      </c>
      <c r="I81" vm="863">
        <f ca="1"/>
        <v>163</v>
      </c>
      <c r="J81" vm="864">
        <f ca="1"/>
        <v>160.19</v>
      </c>
      <c r="K81" vm="865">
        <f ca="1"/>
        <v>109.82</v>
      </c>
    </row>
    <row r="82" spans="1:1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 vm="871">
        <f ca="1"/>
        <v>27.748999999999999</v>
      </c>
      <c r="G82" vm="872">
        <f ca="1"/>
        <v>138.24</v>
      </c>
      <c r="H82" vm="873">
        <f ca="1"/>
        <v>232.73</v>
      </c>
      <c r="I82" vm="874">
        <f ca="1"/>
        <v>163.69999999999999</v>
      </c>
      <c r="J82" vm="875">
        <f ca="1"/>
        <v>164.31</v>
      </c>
      <c r="K82" vm="876">
        <f ca="1"/>
        <v>105.45</v>
      </c>
    </row>
    <row r="83" spans="1:1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 vm="882">
        <f ca="1"/>
        <v>28.91</v>
      </c>
      <c r="G83" vm="883">
        <f ca="1"/>
        <v>141.19999999999999</v>
      </c>
      <c r="H83" vm="884">
        <f ca="1"/>
        <v>232.51</v>
      </c>
      <c r="I83" vm="885">
        <f ca="1"/>
        <v>163.6</v>
      </c>
      <c r="J83" vm="886">
        <f ca="1"/>
        <v>161.83000000000001</v>
      </c>
      <c r="K83" vm="887">
        <f ca="1"/>
        <v>102.05</v>
      </c>
    </row>
    <row r="84" spans="1:1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 vm="893">
        <f ca="1"/>
        <v>28.21</v>
      </c>
      <c r="G84" vm="894">
        <f ca="1"/>
        <v>138.91999999999999</v>
      </c>
      <c r="H84" vm="895">
        <f ca="1"/>
        <v>226.98</v>
      </c>
      <c r="I84" vm="896">
        <f ca="1"/>
        <v>165.03</v>
      </c>
      <c r="J84" vm="897">
        <f ca="1"/>
        <v>160.31</v>
      </c>
      <c r="K84" vm="898">
        <f ca="1"/>
        <v>103.63</v>
      </c>
    </row>
    <row r="85" spans="1:1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 vm="903">
        <f ca="1"/>
        <v>27.802</v>
      </c>
      <c r="G85" vm="904">
        <f ca="1"/>
        <v>135.97999999999999</v>
      </c>
      <c r="H85" vm="905">
        <f ca="1"/>
        <v>225.98</v>
      </c>
      <c r="I85" vm="906">
        <f ca="1"/>
        <v>162.87</v>
      </c>
      <c r="J85" vm="907">
        <f ca="1"/>
        <v>160.61000000000001</v>
      </c>
      <c r="K85" vm="908">
        <f ca="1"/>
        <v>103.65</v>
      </c>
    </row>
    <row r="86" spans="1:1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 vm="913">
        <f ca="1"/>
        <v>27.562000000000001</v>
      </c>
      <c r="G86" vm="914">
        <f ca="1"/>
        <v>134.12</v>
      </c>
      <c r="H86" vm="915">
        <f ca="1"/>
        <v>225.6</v>
      </c>
      <c r="I86" vm="916">
        <f ca="1"/>
        <v>162.13</v>
      </c>
      <c r="J86" vm="917">
        <f ca="1"/>
        <v>161.19999999999999</v>
      </c>
      <c r="K86" vm="918">
        <f ca="1"/>
        <v>104</v>
      </c>
    </row>
    <row r="87" spans="1:1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 vm="924">
        <f ca="1"/>
        <v>28.68</v>
      </c>
      <c r="G87" vm="925">
        <f ca="1"/>
        <v>136.74</v>
      </c>
      <c r="H87" vm="926">
        <f ca="1"/>
        <v>231.78</v>
      </c>
      <c r="I87" vm="927">
        <f ca="1"/>
        <v>162.68</v>
      </c>
      <c r="J87" vm="928">
        <f ca="1"/>
        <v>170.06</v>
      </c>
      <c r="K87" vm="929">
        <f ca="1"/>
        <v>105.655</v>
      </c>
    </row>
    <row r="88" spans="1:1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 vm="935">
        <f ca="1"/>
        <v>29.151</v>
      </c>
      <c r="G88" vm="936">
        <f ca="1"/>
        <v>137.07</v>
      </c>
      <c r="H88" vm="937">
        <f ca="1"/>
        <v>232.23</v>
      </c>
      <c r="I88" vm="938">
        <f ca="1"/>
        <v>162.31</v>
      </c>
      <c r="J88" vm="939">
        <f ca="1"/>
        <v>171.79</v>
      </c>
      <c r="K88" vm="940">
        <f ca="1"/>
        <v>105.83</v>
      </c>
    </row>
    <row r="89" spans="1:1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 vm="946">
        <f ca="1"/>
        <v>28.571000000000002</v>
      </c>
      <c r="G89" vm="947">
        <f ca="1"/>
        <v>136.41</v>
      </c>
      <c r="H89" vm="948">
        <f ca="1"/>
        <v>233.26</v>
      </c>
      <c r="I89" vm="949">
        <f ca="1"/>
        <v>161.05000000000001</v>
      </c>
      <c r="J89" vm="950">
        <f ca="1"/>
        <v>169.15</v>
      </c>
      <c r="K89" vm="951">
        <f ca="1"/>
        <v>106.62</v>
      </c>
    </row>
    <row r="90" spans="1:1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 vm="957">
        <f ca="1"/>
        <v>28.885000000000002</v>
      </c>
      <c r="G90" vm="958">
        <f ca="1"/>
        <v>136.47999999999999</v>
      </c>
      <c r="H90" vm="959">
        <f ca="1"/>
        <v>231.27</v>
      </c>
      <c r="I90" vm="960">
        <f ca="1"/>
        <v>161.65</v>
      </c>
      <c r="J90" vm="889">
        <f ca="1"/>
        <v>168.54</v>
      </c>
      <c r="K90" vm="961">
        <f ca="1"/>
        <v>110.19</v>
      </c>
    </row>
    <row r="91" spans="1:1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 vm="967">
        <f ca="1"/>
        <v>28.577999999999999</v>
      </c>
      <c r="G91" vm="968">
        <f ca="1"/>
        <v>136.05000000000001</v>
      </c>
      <c r="H91" vm="969">
        <f ca="1"/>
        <v>231.01</v>
      </c>
      <c r="I91" vm="970">
        <f ca="1"/>
        <v>160.99</v>
      </c>
      <c r="J91" vm="363">
        <f ca="1"/>
        <v>172.08</v>
      </c>
      <c r="K91" vm="971">
        <f ca="1"/>
        <v>112.18</v>
      </c>
    </row>
    <row r="92" spans="1:1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 vm="977">
        <f ca="1"/>
        <v>28.34</v>
      </c>
      <c r="G92" vm="978">
        <f ca="1"/>
        <v>134.1</v>
      </c>
      <c r="H92" vm="979">
        <f ca="1"/>
        <v>231.38</v>
      </c>
      <c r="I92" vm="980">
        <f ca="1"/>
        <v>160.78</v>
      </c>
      <c r="J92" vm="981">
        <f ca="1"/>
        <v>167.98</v>
      </c>
      <c r="K92" vm="982">
        <f ca="1"/>
        <v>110.26</v>
      </c>
    </row>
    <row r="93" spans="1:1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 vm="988">
        <f ca="1"/>
        <v>28.952999999999999</v>
      </c>
      <c r="G93" vm="850">
        <f ca="1"/>
        <v>135.22999999999999</v>
      </c>
      <c r="H93" vm="989">
        <f ca="1"/>
        <v>232.81</v>
      </c>
      <c r="I93" vm="990">
        <f ca="1"/>
        <v>159.55000000000001</v>
      </c>
      <c r="J93" vm="991">
        <f ca="1"/>
        <v>166.35</v>
      </c>
      <c r="K93" vm="992">
        <f ca="1"/>
        <v>111.2</v>
      </c>
    </row>
    <row r="94" spans="1:1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 vm="997">
        <f ca="1"/>
        <v>29.213000000000001</v>
      </c>
      <c r="G94" vm="998">
        <f ca="1"/>
        <v>134.32</v>
      </c>
      <c r="H94" vm="999">
        <f ca="1"/>
        <v>230.47</v>
      </c>
      <c r="I94" vm="1000">
        <f ca="1"/>
        <v>159.34</v>
      </c>
      <c r="J94" vm="1001">
        <f ca="1"/>
        <v>166.52</v>
      </c>
      <c r="K94" vm="1002">
        <f ca="1"/>
        <v>113.4</v>
      </c>
    </row>
    <row r="95" spans="1:1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 vm="1008">
        <f ca="1"/>
        <v>30.178000000000001</v>
      </c>
      <c r="G95" vm="161">
        <f ca="1"/>
        <v>138.44999999999999</v>
      </c>
      <c r="H95" vm="1009">
        <f ca="1"/>
        <v>232.65</v>
      </c>
      <c r="I95" vm="1010">
        <f ca="1"/>
        <v>158.99</v>
      </c>
      <c r="J95" vm="1011">
        <f ca="1"/>
        <v>173.86</v>
      </c>
      <c r="K95" vm="1012">
        <f ca="1"/>
        <v>115.5</v>
      </c>
    </row>
    <row r="96" spans="1:1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 vm="1018">
        <f ca="1"/>
        <v>31.678000000000001</v>
      </c>
      <c r="G96" vm="1019">
        <f ca="1"/>
        <v>139.5</v>
      </c>
      <c r="H96" vm="788">
        <f ca="1"/>
        <v>233.6</v>
      </c>
      <c r="I96" vm="1020">
        <f ca="1"/>
        <v>158.47999999999999</v>
      </c>
      <c r="J96" vm="1021">
        <f ca="1"/>
        <v>176.89</v>
      </c>
      <c r="K96" vm="1022">
        <f ca="1"/>
        <v>118.15</v>
      </c>
    </row>
    <row r="97" spans="1:1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 vm="1027">
        <f ca="1"/>
        <v>31.263999999999999</v>
      </c>
      <c r="G97" vm="1028">
        <f ca="1"/>
        <v>139.18</v>
      </c>
      <c r="H97" vm="1029">
        <f ca="1"/>
        <v>233.31</v>
      </c>
      <c r="I97" vm="1030">
        <f ca="1"/>
        <v>158.91</v>
      </c>
      <c r="J97" vm="1031">
        <f ca="1"/>
        <v>180.14</v>
      </c>
      <c r="K97" vm="1032">
        <f ca="1"/>
        <v>116.25</v>
      </c>
    </row>
    <row r="98" spans="1:1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 vm="1038">
        <f ca="1"/>
        <v>31.175999999999998</v>
      </c>
      <c r="G98" vm="1039">
        <f ca="1"/>
        <v>138.03</v>
      </c>
      <c r="H98" vm="1040">
        <f ca="1"/>
        <v>231.28</v>
      </c>
      <c r="I98" vm="1041">
        <f ca="1"/>
        <v>156.87</v>
      </c>
      <c r="J98" vm="1042">
        <f ca="1"/>
        <v>188.87</v>
      </c>
      <c r="K98" vm="1043">
        <f ca="1"/>
        <v>115.01</v>
      </c>
    </row>
    <row r="99" spans="1:1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 vm="1049">
        <f ca="1"/>
        <v>30.687999999999999</v>
      </c>
      <c r="G99" vm="1050">
        <f ca="1"/>
        <v>136.59</v>
      </c>
      <c r="H99" vm="1051">
        <f ca="1"/>
        <v>224.58</v>
      </c>
      <c r="I99" vm="1052">
        <f ca="1"/>
        <v>156.81</v>
      </c>
      <c r="J99" vm="1053">
        <f ca="1"/>
        <v>185.77</v>
      </c>
      <c r="K99" vm="1054">
        <f ca="1"/>
        <v>114.99</v>
      </c>
    </row>
    <row r="100" spans="1:1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 vm="1060">
        <f ca="1"/>
        <v>30.538</v>
      </c>
      <c r="G100" vm="1061">
        <f ca="1"/>
        <v>135.34</v>
      </c>
      <c r="H100" vm="1062">
        <f ca="1"/>
        <v>222.25</v>
      </c>
      <c r="I100" vm="1063">
        <f ca="1"/>
        <v>156.66</v>
      </c>
      <c r="J100" vm="1064">
        <f ca="1"/>
        <v>182.9</v>
      </c>
      <c r="K100" vm="1065">
        <f ca="1"/>
        <v>116.75</v>
      </c>
    </row>
    <row r="101" spans="1:1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 vm="1071">
        <f ca="1"/>
        <v>37.979999999999997</v>
      </c>
      <c r="G101" vm="1072">
        <f ca="1"/>
        <v>135.66999999999999</v>
      </c>
      <c r="H101" vm="1073">
        <f ca="1"/>
        <v>223.38</v>
      </c>
      <c r="I101" vm="1074">
        <f ca="1"/>
        <v>154.41</v>
      </c>
      <c r="J101" vm="1075">
        <f ca="1"/>
        <v>184.47</v>
      </c>
      <c r="K101" vm="1076">
        <f ca="1"/>
        <v>115</v>
      </c>
    </row>
    <row r="102" spans="1:1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 vm="1082">
        <f ca="1"/>
        <v>38.945999999999998</v>
      </c>
      <c r="G102" vm="1083">
        <f ca="1"/>
        <v>136.94</v>
      </c>
      <c r="H102" vm="1084">
        <f ca="1"/>
        <v>225.01</v>
      </c>
      <c r="I102" vm="541">
        <f ca="1"/>
        <v>154.35</v>
      </c>
      <c r="J102" vm="1085">
        <f ca="1"/>
        <v>193.17</v>
      </c>
      <c r="K102" vm="1086">
        <f ca="1"/>
        <v>120.11</v>
      </c>
    </row>
    <row r="103" spans="1:1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 vm="1092">
        <f ca="1"/>
        <v>40.110999999999997</v>
      </c>
      <c r="G103" vm="1093">
        <f ca="1"/>
        <v>137.46</v>
      </c>
      <c r="H103" vm="1094">
        <f ca="1"/>
        <v>221.64</v>
      </c>
      <c r="I103" vm="1095">
        <f ca="1"/>
        <v>154.37</v>
      </c>
      <c r="J103" vm="1096">
        <f ca="1"/>
        <v>201.16</v>
      </c>
      <c r="K103" vm="1097">
        <f ca="1"/>
        <v>121.66</v>
      </c>
    </row>
    <row r="104" spans="1:1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 vm="1103">
        <f ca="1"/>
        <v>37.834000000000003</v>
      </c>
      <c r="G104" vm="1104">
        <f ca="1"/>
        <v>135.71</v>
      </c>
      <c r="H104" vm="1105">
        <f ca="1"/>
        <v>221.03</v>
      </c>
      <c r="I104" vm="1106">
        <f ca="1"/>
        <v>155.06</v>
      </c>
      <c r="J104" vm="1107">
        <f ca="1"/>
        <v>203.93</v>
      </c>
      <c r="K104" vm="1108">
        <f ca="1"/>
        <v>120.58</v>
      </c>
    </row>
    <row r="105" spans="1:1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 vm="1114">
        <f ca="1"/>
        <v>39.770000000000003</v>
      </c>
      <c r="G105" vm="1115">
        <f ca="1"/>
        <v>137.58000000000001</v>
      </c>
      <c r="H105" vm="1116">
        <f ca="1"/>
        <v>226.5</v>
      </c>
      <c r="I105" vm="1117">
        <f ca="1"/>
        <v>154.54</v>
      </c>
      <c r="J105" vm="1118">
        <f ca="1"/>
        <v>207.52</v>
      </c>
      <c r="K105" vm="1119">
        <f ca="1"/>
        <v>122.77</v>
      </c>
    </row>
    <row r="106" spans="1:1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 vm="1124">
        <f ca="1"/>
        <v>39.326999999999998</v>
      </c>
      <c r="G106" vm="1125">
        <f ca="1"/>
        <v>140.47</v>
      </c>
      <c r="H106" vm="1126">
        <f ca="1"/>
        <v>228.79</v>
      </c>
      <c r="I106" vm="1127">
        <f ca="1"/>
        <v>156.97</v>
      </c>
      <c r="J106" vm="1128">
        <f ca="1"/>
        <v>213.97</v>
      </c>
      <c r="K106" vm="1129">
        <f ca="1"/>
        <v>124.25</v>
      </c>
    </row>
    <row r="107" spans="1:1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 vm="1135">
        <f ca="1"/>
        <v>39.170999999999999</v>
      </c>
      <c r="G107" vm="1136">
        <f ca="1"/>
        <v>139.09</v>
      </c>
      <c r="H107" vm="1137">
        <f ca="1"/>
        <v>226.77</v>
      </c>
      <c r="I107" vm="1138">
        <f ca="1"/>
        <v>158.32</v>
      </c>
      <c r="J107" vm="1139">
        <f ca="1"/>
        <v>217.61</v>
      </c>
      <c r="K107" vm="1140">
        <f ca="1"/>
        <v>125.3</v>
      </c>
    </row>
    <row r="108" spans="1:1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 vm="1146">
        <f ca="1"/>
        <v>38.654000000000003</v>
      </c>
      <c r="G108" vm="1147">
        <f ca="1"/>
        <v>139.34</v>
      </c>
      <c r="H108" vm="1148">
        <f ca="1"/>
        <v>228.22</v>
      </c>
      <c r="I108" vm="1149">
        <f ca="1"/>
        <v>158.18</v>
      </c>
      <c r="J108" vm="1150">
        <f ca="1"/>
        <v>221.31</v>
      </c>
      <c r="K108" vm="1151">
        <f ca="1"/>
        <v>126.61</v>
      </c>
    </row>
    <row r="109" spans="1:1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 vm="1157">
        <f ca="1"/>
        <v>37.475000000000001</v>
      </c>
      <c r="G109" vm="1158">
        <f ca="1"/>
        <v>140.69</v>
      </c>
      <c r="H109" vm="1159">
        <f ca="1"/>
        <v>225.27</v>
      </c>
      <c r="I109" vm="1160">
        <f ca="1"/>
        <v>158.52000000000001</v>
      </c>
      <c r="J109" vm="1161">
        <f ca="1"/>
        <v>224.57</v>
      </c>
      <c r="K109" vm="1162">
        <f ca="1"/>
        <v>121.23</v>
      </c>
    </row>
    <row r="110" spans="1:1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 vm="1168">
        <f ca="1"/>
        <v>38.51</v>
      </c>
      <c r="G110" vm="829">
        <f ca="1"/>
        <v>140.72999999999999</v>
      </c>
      <c r="H110" vm="1169">
        <f ca="1"/>
        <v>223.05</v>
      </c>
      <c r="I110" vm="1170">
        <f ca="1"/>
        <v>160.26</v>
      </c>
      <c r="J110" vm="1171">
        <f ca="1"/>
        <v>234.86</v>
      </c>
      <c r="K110" vm="1129">
        <f ca="1"/>
        <v>124.25</v>
      </c>
    </row>
    <row r="111" spans="1:1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 vm="1177">
        <f ca="1"/>
        <v>38.770000000000003</v>
      </c>
      <c r="G111" vm="1178">
        <f ca="1"/>
        <v>141.01</v>
      </c>
      <c r="H111" vm="355">
        <f ca="1"/>
        <v>223.56</v>
      </c>
      <c r="I111" vm="1179">
        <f ca="1"/>
        <v>160.01</v>
      </c>
      <c r="J111" vm="1180">
        <f ca="1"/>
        <v>244.4</v>
      </c>
      <c r="K111" vm="1181">
        <f ca="1"/>
        <v>123.43</v>
      </c>
    </row>
    <row r="112" spans="1:1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 vm="1187">
        <f ca="1"/>
        <v>39.481999999999999</v>
      </c>
      <c r="G112" vm="1188">
        <f ca="1"/>
        <v>141</v>
      </c>
      <c r="H112" vm="1189">
        <f ca="1"/>
        <v>226.17</v>
      </c>
      <c r="I112" vm="1190">
        <f ca="1"/>
        <v>159.9</v>
      </c>
      <c r="J112" vm="1191">
        <f ca="1"/>
        <v>249.83</v>
      </c>
      <c r="K112" vm="1192">
        <f ca="1"/>
        <v>126.57</v>
      </c>
    </row>
    <row r="113" spans="1:1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 vm="1197">
        <f ca="1"/>
        <v>41.021999999999998</v>
      </c>
      <c r="G113" vm="1198">
        <f ca="1"/>
        <v>142.02000000000001</v>
      </c>
      <c r="H113" vm="1199">
        <f ca="1"/>
        <v>223.4</v>
      </c>
      <c r="I113" vm="1200">
        <f ca="1"/>
        <v>160.74</v>
      </c>
      <c r="J113" vm="1201">
        <f ca="1"/>
        <v>258.70999999999998</v>
      </c>
      <c r="K113" vm="1202">
        <f ca="1"/>
        <v>126.66</v>
      </c>
    </row>
    <row r="114" spans="1:1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 vm="1207">
        <f ca="1"/>
        <v>42.997</v>
      </c>
      <c r="G114" vm="1208">
        <f ca="1"/>
        <v>141.49</v>
      </c>
      <c r="H114" vm="1209">
        <f ca="1"/>
        <v>223.44</v>
      </c>
      <c r="I114" vm="1210">
        <f ca="1"/>
        <v>161.56</v>
      </c>
      <c r="J114" vm="1211">
        <f ca="1"/>
        <v>256.79000000000002</v>
      </c>
      <c r="K114" vm="1212">
        <f ca="1"/>
        <v>126.42</v>
      </c>
    </row>
    <row r="115" spans="1:1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 vm="1218">
        <f ca="1"/>
        <v>42.652999999999999</v>
      </c>
      <c r="G115" vm="1219">
        <f ca="1"/>
        <v>143.09</v>
      </c>
      <c r="H115" vm="1189">
        <f ca="1"/>
        <v>226.17</v>
      </c>
      <c r="I115" vm="1220">
        <f ca="1"/>
        <v>163.72999999999999</v>
      </c>
      <c r="J115" vm="1221">
        <f ca="1"/>
        <v>255.9</v>
      </c>
      <c r="K115" vm="1222">
        <f ca="1"/>
        <v>127.11</v>
      </c>
    </row>
    <row r="116" spans="1:1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 vm="1228">
        <f ca="1"/>
        <v>42.692</v>
      </c>
      <c r="G116" vm="1229">
        <f ca="1"/>
        <v>143.26</v>
      </c>
      <c r="H116" vm="1230">
        <f ca="1"/>
        <v>228.91</v>
      </c>
      <c r="I116" vm="1231">
        <f ca="1"/>
        <v>164.23</v>
      </c>
      <c r="J116" vm="1232">
        <f ca="1"/>
        <v>260.54000000000002</v>
      </c>
      <c r="K116" vm="1233">
        <f ca="1"/>
        <v>125.49</v>
      </c>
    </row>
    <row r="117" spans="1:1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 vm="1239">
        <f ca="1"/>
        <v>43.808</v>
      </c>
      <c r="G117" vm="156">
        <f ca="1"/>
        <v>142.53</v>
      </c>
      <c r="H117" vm="1240">
        <f ca="1"/>
        <v>226.47</v>
      </c>
      <c r="I117" vm="1241">
        <f ca="1"/>
        <v>164.13</v>
      </c>
      <c r="J117" vm="1242">
        <f ca="1"/>
        <v>274.45</v>
      </c>
      <c r="K117" vm="1243">
        <f ca="1"/>
        <v>125.78</v>
      </c>
    </row>
    <row r="118" spans="1:1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 vm="1249">
        <f ca="1"/>
        <v>43.045000000000002</v>
      </c>
      <c r="G118" vm="1250">
        <f ca="1"/>
        <v>142.32</v>
      </c>
      <c r="H118" vm="1251">
        <f ca="1"/>
        <v>227.25</v>
      </c>
      <c r="I118" vm="1252">
        <f ca="1"/>
        <v>163.88</v>
      </c>
      <c r="J118" vm="1253">
        <f ca="1"/>
        <v>259.45999999999998</v>
      </c>
      <c r="K118" vm="1254">
        <f ca="1"/>
        <v>124.83</v>
      </c>
    </row>
    <row r="119" spans="1:1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 vm="1260">
        <f ca="1"/>
        <v>43.024999999999999</v>
      </c>
      <c r="G119" vm="1261">
        <f ca="1"/>
        <v>139.58000000000001</v>
      </c>
      <c r="H119" vm="1262">
        <f ca="1"/>
        <v>228.39</v>
      </c>
      <c r="I119" vm="1263">
        <f ca="1"/>
        <v>165.62</v>
      </c>
      <c r="J119" vm="1264">
        <f ca="1"/>
        <v>264.61</v>
      </c>
      <c r="K119" vm="46">
        <f ca="1"/>
        <v>130.15</v>
      </c>
    </row>
    <row r="120" spans="1:1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 vm="1270">
        <f ca="1"/>
        <v>42.209000000000003</v>
      </c>
      <c r="G120" vm="1271">
        <f ca="1"/>
        <v>138.85</v>
      </c>
      <c r="H120" vm="1272">
        <f ca="1"/>
        <v>229.55</v>
      </c>
      <c r="I120" vm="1273">
        <f ca="1"/>
        <v>165.48</v>
      </c>
      <c r="J120" vm="1274">
        <f ca="1"/>
        <v>256.60000000000002</v>
      </c>
      <c r="K120" vm="1275">
        <f ca="1"/>
        <v>129.33000000000001</v>
      </c>
    </row>
    <row r="121" spans="1:1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 vm="1281">
        <f ca="1"/>
        <v>40.631999999999998</v>
      </c>
      <c r="G121" vm="1282">
        <f ca="1"/>
        <v>139.19</v>
      </c>
      <c r="H121" vm="1283">
        <f ca="1"/>
        <v>226.3</v>
      </c>
      <c r="I121" vm="1284">
        <f ca="1"/>
        <v>163.63</v>
      </c>
      <c r="J121" vm="1285">
        <f ca="1"/>
        <v>241.05</v>
      </c>
      <c r="K121" vm="1286">
        <f ca="1"/>
        <v>127.33</v>
      </c>
    </row>
    <row r="122" spans="1:1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 vm="1292">
        <f ca="1"/>
        <v>41.875999999999998</v>
      </c>
      <c r="G122" vm="1293">
        <f ca="1"/>
        <v>139.19999999999999</v>
      </c>
      <c r="H122" vm="1294">
        <f ca="1"/>
        <v>227.34</v>
      </c>
      <c r="I122" vm="1295">
        <f ca="1"/>
        <v>163.29</v>
      </c>
      <c r="J122" vm="1296">
        <f ca="1"/>
        <v>250.21</v>
      </c>
      <c r="K122" vm="1297">
        <f ca="1"/>
        <v>129.18</v>
      </c>
    </row>
    <row r="123" spans="1:1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 vm="1303">
        <f ca="1"/>
        <v>41.116999999999997</v>
      </c>
      <c r="G123" vm="1304">
        <f ca="1"/>
        <v>138.59</v>
      </c>
      <c r="H123" vm="1305">
        <f ca="1"/>
        <v>227.96</v>
      </c>
      <c r="I123" vm="1306">
        <f ca="1"/>
        <v>162.96</v>
      </c>
      <c r="J123" vm="1307">
        <f ca="1"/>
        <v>256.24</v>
      </c>
      <c r="K123" vm="1308">
        <f ca="1"/>
        <v>129.04</v>
      </c>
    </row>
    <row r="124" spans="1:1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 vm="1314">
        <f ca="1"/>
        <v>40.822000000000003</v>
      </c>
      <c r="G124" vm="1315">
        <f ca="1"/>
        <v>143.43</v>
      </c>
      <c r="H124" vm="1316">
        <f ca="1"/>
        <v>234.32</v>
      </c>
      <c r="I124" vm="1317">
        <f ca="1"/>
        <v>164.1</v>
      </c>
      <c r="J124" vm="1318">
        <f ca="1"/>
        <v>257.5</v>
      </c>
      <c r="K124" vm="1319">
        <f ca="1"/>
        <v>127.9</v>
      </c>
    </row>
    <row r="125" spans="1:1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 vm="1325">
        <f ca="1"/>
        <v>42.302</v>
      </c>
      <c r="G125" vm="1326">
        <f ca="1"/>
        <v>145.44</v>
      </c>
      <c r="H125" vm="1327">
        <f ca="1"/>
        <v>237.48</v>
      </c>
      <c r="I125" vm="1328">
        <f ca="1"/>
        <v>165.52</v>
      </c>
      <c r="J125" vm="1329">
        <f ca="1"/>
        <v>261.77</v>
      </c>
      <c r="K125" vm="1330">
        <f ca="1"/>
        <v>130.36000000000001</v>
      </c>
    </row>
    <row r="126" spans="1:1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 vm="1336">
        <f ca="1"/>
        <v>42.412999999999997</v>
      </c>
      <c r="G126" vm="1337">
        <f ca="1"/>
        <v>146.61000000000001</v>
      </c>
      <c r="H126" vm="1338">
        <f ca="1"/>
        <v>237.97</v>
      </c>
      <c r="I126" vm="1339">
        <f ca="1"/>
        <v>163.35</v>
      </c>
      <c r="J126" vm="1340">
        <f ca="1"/>
        <v>279.82</v>
      </c>
      <c r="K126" vm="1341">
        <f ca="1"/>
        <v>130.22</v>
      </c>
    </row>
    <row r="127" spans="1:1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 vm="1347">
        <f ca="1"/>
        <v>42.317</v>
      </c>
      <c r="G127" vm="1348">
        <f ca="1"/>
        <v>144.63999999999999</v>
      </c>
      <c r="H127" vm="1349">
        <f ca="1"/>
        <v>239.45</v>
      </c>
      <c r="I127" vm="1350">
        <f ca="1"/>
        <v>162.81</v>
      </c>
      <c r="J127" vm="1351">
        <f ca="1"/>
        <v>282.48</v>
      </c>
      <c r="K127" vm="1352">
        <f ca="1"/>
        <v>130.38</v>
      </c>
    </row>
    <row r="128" spans="1:1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 vm="1356">
        <f ca="1"/>
        <v>42.103000000000002</v>
      </c>
      <c r="G128" vm="1357">
        <f ca="1"/>
        <v>143.21</v>
      </c>
      <c r="H128" vm="1358">
        <f ca="1"/>
        <v>238.88</v>
      </c>
      <c r="I128" vm="1359">
        <f ca="1"/>
        <v>161.6</v>
      </c>
      <c r="J128" vm="1360">
        <f ca="1"/>
        <v>276.54000000000002</v>
      </c>
      <c r="K128" vm="1361">
        <f ca="1"/>
        <v>128.36000000000001</v>
      </c>
    </row>
    <row r="129" spans="1:1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 vm="1367">
        <f ca="1"/>
        <v>42.503</v>
      </c>
      <c r="G129" vm="1368">
        <f ca="1"/>
        <v>144.34</v>
      </c>
      <c r="H129" vm="1369">
        <f ca="1"/>
        <v>236.45</v>
      </c>
      <c r="I129" vm="1370">
        <f ca="1"/>
        <v>159.25</v>
      </c>
      <c r="J129" vm="1371">
        <f ca="1"/>
        <v>274.43</v>
      </c>
      <c r="K129" vm="1372">
        <f ca="1"/>
        <v>129.78</v>
      </c>
    </row>
    <row r="130" spans="1:1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 vm="1378">
        <f ca="1"/>
        <v>42.18</v>
      </c>
      <c r="G130" vm="1379">
        <f ca="1"/>
        <v>145.15</v>
      </c>
      <c r="H130" vm="1380">
        <f ca="1"/>
        <v>238.16</v>
      </c>
      <c r="I130" vm="1381">
        <f ca="1"/>
        <v>159.51</v>
      </c>
      <c r="J130" vm="1382">
        <f ca="1"/>
        <v>269.61</v>
      </c>
      <c r="K130" vm="1383">
        <f ca="1"/>
        <v>127.13</v>
      </c>
    </row>
    <row r="131" spans="1:1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 vm="1389">
        <f ca="1"/>
        <v>42.405000000000001</v>
      </c>
      <c r="G131" vm="1390">
        <f ca="1"/>
        <v>147.41999999999999</v>
      </c>
      <c r="H131" vm="1391">
        <f ca="1"/>
        <v>240.55</v>
      </c>
      <c r="I131" vm="1392">
        <f ca="1"/>
        <v>158.63</v>
      </c>
      <c r="J131" vm="1393">
        <f ca="1"/>
        <v>269.79000000000002</v>
      </c>
      <c r="K131" vm="120">
        <f ca="1"/>
        <v>128.78</v>
      </c>
    </row>
    <row r="132" spans="1:1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 vm="1399">
        <f ca="1"/>
        <v>43.902000000000001</v>
      </c>
      <c r="G132" vm="1400">
        <f ca="1"/>
        <v>148.15</v>
      </c>
      <c r="H132" vm="1401">
        <f ca="1"/>
        <v>242.21</v>
      </c>
      <c r="I132" vm="1402">
        <f ca="1"/>
        <v>158.08000000000001</v>
      </c>
      <c r="J132" vm="1403">
        <f ca="1"/>
        <v>271.99</v>
      </c>
      <c r="K132" vm="1404">
        <f ca="1"/>
        <v>130.80000000000001</v>
      </c>
    </row>
    <row r="133" spans="1:1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 vm="1410">
        <f ca="1"/>
        <v>45.976999999999997</v>
      </c>
      <c r="G133" vm="1411">
        <f ca="1"/>
        <v>148.87</v>
      </c>
      <c r="H133" vm="1412">
        <f ca="1"/>
        <v>243.31</v>
      </c>
      <c r="I133" vm="1413">
        <f ca="1"/>
        <v>158.81</v>
      </c>
      <c r="J133" vm="1414">
        <f ca="1"/>
        <v>277.89999999999998</v>
      </c>
      <c r="K133" vm="1415">
        <f ca="1"/>
        <v>134.30000000000001</v>
      </c>
    </row>
    <row r="134" spans="1:1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 vm="1421">
        <f ca="1"/>
        <v>45.469000000000001</v>
      </c>
      <c r="G134" vm="1422">
        <f ca="1"/>
        <v>149.77000000000001</v>
      </c>
      <c r="H134" vm="1423">
        <f ca="1"/>
        <v>243.16</v>
      </c>
      <c r="I134" vm="1424">
        <f ca="1"/>
        <v>159.87</v>
      </c>
      <c r="J134" vm="1425">
        <f ca="1"/>
        <v>281.38</v>
      </c>
      <c r="K134" vm="1426">
        <f ca="1"/>
        <v>134.68</v>
      </c>
    </row>
    <row r="135" spans="1:1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 vm="1432">
        <f ca="1"/>
        <v>46.460999999999999</v>
      </c>
      <c r="G135" vm="1433">
        <f ca="1"/>
        <v>153.38</v>
      </c>
      <c r="H135" vm="1434">
        <f ca="1"/>
        <v>243.99</v>
      </c>
      <c r="I135" vm="1435">
        <f ca="1"/>
        <v>159.07</v>
      </c>
      <c r="J135" vm="1436">
        <f ca="1"/>
        <v>290.38</v>
      </c>
      <c r="K135" vm="1437">
        <f ca="1"/>
        <v>133.56</v>
      </c>
    </row>
    <row r="136" spans="1:1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 vm="1443">
        <f ca="1"/>
        <v>47.494</v>
      </c>
      <c r="G136" vm="1444">
        <f ca="1"/>
        <v>153.66</v>
      </c>
      <c r="H136" vm="1445">
        <f ca="1"/>
        <v>240.77</v>
      </c>
      <c r="I136" vm="1446">
        <f ca="1"/>
        <v>159.06</v>
      </c>
      <c r="J136" vm="1447">
        <f ca="1"/>
        <v>293.33999999999997</v>
      </c>
      <c r="K136" vm="1448">
        <f ca="1"/>
        <v>132.83000000000001</v>
      </c>
    </row>
    <row r="137" spans="1:1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 vm="1454">
        <f ca="1"/>
        <v>47.076999999999998</v>
      </c>
      <c r="G137" vm="1455">
        <f ca="1"/>
        <v>154.25</v>
      </c>
      <c r="H137" vm="1456">
        <f ca="1"/>
        <v>241.42</v>
      </c>
      <c r="I137" vm="1457">
        <f ca="1"/>
        <v>158.74</v>
      </c>
      <c r="J137" vm="1458">
        <f ca="1"/>
        <v>291.26</v>
      </c>
      <c r="K137" vm="104">
        <f ca="1"/>
        <v>135.36000000000001</v>
      </c>
    </row>
    <row r="138" spans="1:1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 vm="1464">
        <f ca="1"/>
        <v>45.52</v>
      </c>
      <c r="G138" vm="1465">
        <f ca="1"/>
        <v>156.15</v>
      </c>
      <c r="H138" vm="1466">
        <f ca="1"/>
        <v>239.62</v>
      </c>
      <c r="I138" vm="1467">
        <f ca="1"/>
        <v>168.38</v>
      </c>
      <c r="J138" vm="1468">
        <f ca="1"/>
        <v>262.89999999999998</v>
      </c>
      <c r="K138" vm="1469">
        <f ca="1"/>
        <v>129.96</v>
      </c>
    </row>
    <row r="139" spans="1:1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 vm="1475">
        <f ca="1"/>
        <v>44.308999999999997</v>
      </c>
      <c r="G139" vm="1476">
        <f ca="1"/>
        <v>154.94999999999999</v>
      </c>
      <c r="H139" vm="1477">
        <f ca="1"/>
        <v>239.25</v>
      </c>
      <c r="I139" vm="1478">
        <f ca="1"/>
        <v>170.19</v>
      </c>
      <c r="J139" vm="1479">
        <f ca="1"/>
        <v>260.02</v>
      </c>
      <c r="K139" vm="1480">
        <f ca="1"/>
        <v>130</v>
      </c>
    </row>
    <row r="140" spans="1:1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 vm="1486">
        <f ca="1"/>
        <v>44.612000000000002</v>
      </c>
      <c r="G140" vm="366">
        <f ca="1"/>
        <v>158</v>
      </c>
      <c r="H140" vm="1487">
        <f ca="1"/>
        <v>240.74</v>
      </c>
      <c r="I140" vm="1488">
        <f ca="1"/>
        <v>171.08</v>
      </c>
      <c r="J140" vm="1489">
        <f ca="1"/>
        <v>269.06</v>
      </c>
      <c r="K140" vm="1490">
        <f ca="1"/>
        <v>128.80000000000001</v>
      </c>
    </row>
    <row r="141" spans="1:1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 vm="1496">
        <f ca="1"/>
        <v>45.679000000000002</v>
      </c>
      <c r="G141" vm="1497">
        <f ca="1"/>
        <v>156.82</v>
      </c>
      <c r="H141" vm="1498">
        <f ca="1"/>
        <v>238.69</v>
      </c>
      <c r="I141" vm="1499">
        <f ca="1"/>
        <v>172.39</v>
      </c>
      <c r="J141" vm="1500">
        <f ca="1"/>
        <v>265.27999999999997</v>
      </c>
      <c r="K141" vm="1501">
        <f ca="1"/>
        <v>129.13</v>
      </c>
    </row>
    <row r="142" spans="1:1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 vm="1507">
        <f ca="1"/>
        <v>45.451999999999998</v>
      </c>
      <c r="G142" vm="1508">
        <f ca="1"/>
        <v>157.76</v>
      </c>
      <c r="H142" vm="1509">
        <f ca="1"/>
        <v>237.1</v>
      </c>
      <c r="I142" vm="1510">
        <f ca="1"/>
        <v>172.72</v>
      </c>
      <c r="J142" vm="1511">
        <f ca="1"/>
        <v>264.35000000000002</v>
      </c>
      <c r="K142" vm="1512">
        <f ca="1"/>
        <v>128.15</v>
      </c>
    </row>
    <row r="143" spans="1:1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 vm="1518">
        <f ca="1"/>
        <v>45.9</v>
      </c>
      <c r="G143" vm="1519">
        <f ca="1"/>
        <v>156.02000000000001</v>
      </c>
      <c r="H143" vm="1520">
        <f ca="1"/>
        <v>234.44</v>
      </c>
      <c r="I143" vm="1521">
        <f ca="1"/>
        <v>173.69</v>
      </c>
      <c r="J143" vm="1522">
        <f ca="1"/>
        <v>255.71</v>
      </c>
      <c r="K143" vm="1523">
        <f ca="1"/>
        <v>128.25</v>
      </c>
    </row>
    <row r="144" spans="1:1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 vm="1529">
        <f ca="1"/>
        <v>46.75</v>
      </c>
      <c r="G144" vm="1530">
        <f ca="1"/>
        <v>156.91</v>
      </c>
      <c r="H144" vm="1531">
        <f ca="1"/>
        <v>235.75</v>
      </c>
      <c r="I144" vm="520">
        <f ca="1"/>
        <v>174.48</v>
      </c>
      <c r="J144" vm="1532">
        <f ca="1"/>
        <v>266.44</v>
      </c>
      <c r="K144" vm="1533">
        <f ca="1"/>
        <v>132.21</v>
      </c>
    </row>
    <row r="145" spans="1:1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 vm="1539">
        <f ca="1"/>
        <v>46.728999999999999</v>
      </c>
      <c r="G145" vm="1540">
        <f ca="1"/>
        <v>157.96</v>
      </c>
      <c r="H145" vm="1541">
        <f ca="1"/>
        <v>237.73</v>
      </c>
      <c r="I145" vm="1542">
        <f ca="1"/>
        <v>167.53</v>
      </c>
      <c r="J145" vm="1543">
        <f ca="1"/>
        <v>267.43</v>
      </c>
      <c r="K145" vm="1544">
        <f ca="1"/>
        <v>133.68</v>
      </c>
    </row>
    <row r="146" spans="1:1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 vm="1550">
        <f ca="1"/>
        <v>46.506999999999998</v>
      </c>
      <c r="G146" vm="1551">
        <f ca="1"/>
        <v>157.18</v>
      </c>
      <c r="H146" vm="1552">
        <f ca="1"/>
        <v>239.78</v>
      </c>
      <c r="I146" vm="183">
        <f ca="1"/>
        <v>168.89</v>
      </c>
      <c r="J146" vm="1553">
        <f ca="1"/>
        <v>261.07</v>
      </c>
      <c r="K146" vm="1554">
        <f ca="1"/>
        <v>131.69</v>
      </c>
    </row>
    <row r="147" spans="1:1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 vm="1559">
        <f ca="1"/>
        <v>44.268999999999998</v>
      </c>
      <c r="G147" vm="1560">
        <f ca="1"/>
        <v>155.4</v>
      </c>
      <c r="H147" vm="1561">
        <f ca="1"/>
        <v>237.56</v>
      </c>
      <c r="I147" vm="1562">
        <f ca="1"/>
        <v>169.91</v>
      </c>
      <c r="J147" vm="1563">
        <f ca="1"/>
        <v>254.11</v>
      </c>
      <c r="K147" vm="1564">
        <f ca="1"/>
        <v>128.21</v>
      </c>
    </row>
    <row r="148" spans="1:1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 vm="1570">
        <f ca="1"/>
        <v>44.515000000000001</v>
      </c>
      <c r="G148" vm="1571">
        <f ca="1"/>
        <v>156.35</v>
      </c>
      <c r="H148" vm="1572">
        <f ca="1"/>
        <v>238.76</v>
      </c>
      <c r="I148" vm="1573">
        <f ca="1"/>
        <v>170.64</v>
      </c>
      <c r="J148" vm="1574">
        <f ca="1"/>
        <v>259.32</v>
      </c>
      <c r="K148" vm="1575">
        <f ca="1"/>
        <v>128.91</v>
      </c>
    </row>
    <row r="149" spans="1:1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 vm="1581">
        <f ca="1"/>
        <v>44.68</v>
      </c>
      <c r="G149" vm="1519">
        <f ca="1"/>
        <v>156.02000000000001</v>
      </c>
      <c r="H149" vm="1582">
        <f ca="1"/>
        <v>238.99</v>
      </c>
      <c r="I149" vm="1583">
        <f ca="1"/>
        <v>169.04</v>
      </c>
      <c r="J149" vm="1584">
        <f ca="1"/>
        <v>253.86</v>
      </c>
      <c r="K149" vm="1585">
        <f ca="1"/>
        <v>139.57</v>
      </c>
    </row>
    <row r="150" spans="1:1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 vm="1591">
        <f ca="1"/>
        <v>45.416499999999999</v>
      </c>
      <c r="G150" vm="1592">
        <f ca="1"/>
        <v>156.76</v>
      </c>
      <c r="H150" vm="1593">
        <f ca="1"/>
        <v>241.51</v>
      </c>
      <c r="I150" vm="1594">
        <f ca="1"/>
        <v>173.1</v>
      </c>
      <c r="J150" vm="1595">
        <f ca="1"/>
        <v>251.45</v>
      </c>
      <c r="K150" vm="1596">
        <f ca="1"/>
        <v>142.22</v>
      </c>
    </row>
    <row r="151" spans="1:1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 vm="1602">
        <f ca="1"/>
        <v>44.664000000000001</v>
      </c>
      <c r="G151" vm="1603">
        <f ca="1"/>
        <v>155.88</v>
      </c>
      <c r="H151" vm="1604">
        <f ca="1"/>
        <v>239.29</v>
      </c>
      <c r="I151" vm="1605">
        <f ca="1"/>
        <v>173.18</v>
      </c>
      <c r="J151" vm="1606">
        <f ca="1"/>
        <v>249.7</v>
      </c>
      <c r="K151" vm="1607">
        <f ca="1"/>
        <v>139.94</v>
      </c>
    </row>
    <row r="152" spans="1:1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 vm="1612">
        <f ca="1"/>
        <v>42.554000000000002</v>
      </c>
      <c r="G152" vm="1613">
        <f ca="1"/>
        <v>153.79</v>
      </c>
      <c r="H152" vm="1614">
        <f ca="1"/>
        <v>239.76</v>
      </c>
      <c r="I152" vm="1615">
        <f ca="1"/>
        <v>173.07</v>
      </c>
      <c r="J152" vm="1616">
        <f ca="1"/>
        <v>242.19</v>
      </c>
      <c r="K152" vm="1617">
        <f ca="1"/>
        <v>137.85</v>
      </c>
    </row>
    <row r="153" spans="1:1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 vm="1623">
        <f ca="1"/>
        <v>42.387999999999998</v>
      </c>
      <c r="G153" vm="1624">
        <f ca="1"/>
        <v>153.56</v>
      </c>
      <c r="H153" vm="1625">
        <f ca="1"/>
        <v>240.16</v>
      </c>
      <c r="I153" vm="1626">
        <f ca="1"/>
        <v>172.17</v>
      </c>
      <c r="J153" vm="1627">
        <f ca="1"/>
        <v>245.34</v>
      </c>
      <c r="K153" vm="375">
        <f ca="1"/>
        <v>138.56</v>
      </c>
    </row>
    <row r="154" spans="1:1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 vm="1633">
        <f ca="1"/>
        <v>40.854999999999997</v>
      </c>
      <c r="G154" vm="1634">
        <f ca="1"/>
        <v>154.44999999999999</v>
      </c>
      <c r="H154" vm="1635">
        <f ca="1"/>
        <v>240.04</v>
      </c>
      <c r="I154" vm="1636">
        <f ca="1"/>
        <v>173.85</v>
      </c>
      <c r="J154" vm="1637">
        <f ca="1"/>
        <v>242.65</v>
      </c>
      <c r="K154" vm="1638">
        <f ca="1"/>
        <v>138.41</v>
      </c>
    </row>
    <row r="155" spans="1:1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 vm="1644">
        <f ca="1"/>
        <v>43.753</v>
      </c>
      <c r="G155" vm="1645">
        <f ca="1"/>
        <v>154.77000000000001</v>
      </c>
      <c r="H155" vm="1646">
        <f ca="1"/>
        <v>242.9</v>
      </c>
      <c r="I155" vm="509">
        <f ca="1"/>
        <v>173.44</v>
      </c>
      <c r="J155" vm="1614">
        <f ca="1"/>
        <v>239.76</v>
      </c>
      <c r="K155" vm="1647">
        <f ca="1"/>
        <v>140.57</v>
      </c>
    </row>
    <row r="156" spans="1:1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 vm="1652">
        <f ca="1"/>
        <v>43.94</v>
      </c>
      <c r="G156" vm="1653">
        <f ca="1"/>
        <v>150.83000000000001</v>
      </c>
      <c r="H156" vm="1654">
        <f ca="1"/>
        <v>239.83</v>
      </c>
      <c r="I156" vm="1655">
        <f ca="1"/>
        <v>172.94</v>
      </c>
      <c r="J156" vm="1656">
        <f ca="1"/>
        <v>232.96</v>
      </c>
      <c r="K156" vm="840">
        <f ca="1"/>
        <v>137.66999999999999</v>
      </c>
    </row>
    <row r="157" spans="1:1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 vm="1662">
        <f ca="1"/>
        <v>43.485999999999997</v>
      </c>
      <c r="G157" vm="1663">
        <f ca="1"/>
        <v>150.19</v>
      </c>
      <c r="H157" vm="1604">
        <f ca="1"/>
        <v>239.29</v>
      </c>
      <c r="I157" vm="1499">
        <f ca="1"/>
        <v>172.39</v>
      </c>
      <c r="J157" vm="915">
        <f ca="1"/>
        <v>225.6</v>
      </c>
      <c r="K157" vm="1664">
        <f ca="1"/>
        <v>135.07</v>
      </c>
    </row>
    <row r="158" spans="1:1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 vm="1669">
        <f ca="1"/>
        <v>43.343499999999999</v>
      </c>
      <c r="G158" vm="1670">
        <f ca="1"/>
        <v>148.63</v>
      </c>
      <c r="H158" vm="1671">
        <f ca="1"/>
        <v>237.37</v>
      </c>
      <c r="I158" vm="1672">
        <f ca="1"/>
        <v>174.01</v>
      </c>
      <c r="J158" vm="1673">
        <f ca="1"/>
        <v>219.22</v>
      </c>
      <c r="K158" vm="1674">
        <f ca="1"/>
        <v>133.97999999999999</v>
      </c>
    </row>
    <row r="159" spans="1:1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 vm="1680">
        <f ca="1"/>
        <v>43.298999999999999</v>
      </c>
      <c r="G159" vm="211">
        <f ca="1"/>
        <v>148.97</v>
      </c>
      <c r="H159" vm="1681">
        <f ca="1"/>
        <v>238.17</v>
      </c>
      <c r="I159" vm="1682">
        <f ca="1"/>
        <v>172.49</v>
      </c>
      <c r="J159" vm="1683">
        <f ca="1"/>
        <v>215.49</v>
      </c>
      <c r="K159" vm="1684">
        <f ca="1"/>
        <v>133.22</v>
      </c>
    </row>
    <row r="160" spans="1:1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 vm="1690">
        <f ca="1"/>
        <v>46.966999999999999</v>
      </c>
      <c r="G160" vm="1691">
        <f ca="1"/>
        <v>149.47999999999999</v>
      </c>
      <c r="H160" vm="1692">
        <f ca="1"/>
        <v>239.46</v>
      </c>
      <c r="I160" vm="1693">
        <f ca="1"/>
        <v>167.35</v>
      </c>
      <c r="J160" vm="1040">
        <f ca="1"/>
        <v>231.28</v>
      </c>
      <c r="K160" vm="1426">
        <f ca="1"/>
        <v>134.68</v>
      </c>
    </row>
    <row r="161" spans="1:1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 vm="1699">
        <f ca="1"/>
        <v>45.667999999999999</v>
      </c>
      <c r="G161" vm="1700">
        <f ca="1"/>
        <v>146.38</v>
      </c>
      <c r="H161" vm="1701">
        <f ca="1"/>
        <v>240.57</v>
      </c>
      <c r="I161" vm="1702">
        <f ca="1"/>
        <v>166.02</v>
      </c>
      <c r="J161" vm="1703">
        <f ca="1"/>
        <v>233.19</v>
      </c>
      <c r="K161" vm="1704">
        <f ca="1"/>
        <v>134.25</v>
      </c>
    </row>
    <row r="162" spans="1:1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 vm="1710">
        <f ca="1"/>
        <v>47.116</v>
      </c>
      <c r="G162" vm="1711">
        <f ca="1"/>
        <v>147.37</v>
      </c>
      <c r="H162" vm="1712">
        <f ca="1"/>
        <v>242.3</v>
      </c>
      <c r="I162" vm="1713">
        <f ca="1"/>
        <v>164.53</v>
      </c>
      <c r="J162" vm="1714">
        <f ca="1"/>
        <v>236.86</v>
      </c>
      <c r="K162" vm="1715">
        <f ca="1"/>
        <v>135.52000000000001</v>
      </c>
    </row>
    <row r="163" spans="1:1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 vm="1720">
        <f ca="1"/>
        <v>47.162999999999997</v>
      </c>
      <c r="G163" vm="1721">
        <f ca="1"/>
        <v>147.22999999999999</v>
      </c>
      <c r="H163" vm="1722">
        <f ca="1"/>
        <v>239.47</v>
      </c>
      <c r="I163" vm="1723">
        <f ca="1"/>
        <v>165.09</v>
      </c>
      <c r="J163" vm="1724">
        <f ca="1"/>
        <v>230.04</v>
      </c>
      <c r="K163" vm="1725">
        <f ca="1"/>
        <v>131.84</v>
      </c>
    </row>
    <row r="164" spans="1:1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 vm="1731">
        <f ca="1"/>
        <v>46.018000000000001</v>
      </c>
      <c r="G164" vm="1732">
        <f ca="1"/>
        <v>147.05000000000001</v>
      </c>
      <c r="H164" vm="1733">
        <f ca="1"/>
        <v>242.57</v>
      </c>
      <c r="I164" vm="1734">
        <f ca="1"/>
        <v>166.25</v>
      </c>
      <c r="J164" vm="1735">
        <f ca="1"/>
        <v>238.59</v>
      </c>
      <c r="K164" vm="1736">
        <f ca="1"/>
        <v>133.26</v>
      </c>
    </row>
    <row r="165" spans="1:1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 vm="1742">
        <f ca="1"/>
        <v>46.835000000000001</v>
      </c>
      <c r="G165" vm="1743">
        <f ca="1"/>
        <v>147.56</v>
      </c>
      <c r="H165" vm="1744">
        <f ca="1"/>
        <v>243.83</v>
      </c>
      <c r="I165" vm="1745">
        <f ca="1"/>
        <v>164.29</v>
      </c>
      <c r="J165" vm="996">
        <f ca="1"/>
        <v>238.82</v>
      </c>
      <c r="K165" vm="1746">
        <f ca="1"/>
        <v>133.13999999999999</v>
      </c>
    </row>
    <row r="166" spans="1:1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 vm="1752">
        <f ca="1"/>
        <v>48.783999999999999</v>
      </c>
      <c r="G166" vm="1753">
        <f ca="1"/>
        <v>148.76</v>
      </c>
      <c r="H166" vm="1627">
        <f ca="1"/>
        <v>245.34</v>
      </c>
      <c r="I166" vm="875">
        <f ca="1"/>
        <v>164.31</v>
      </c>
      <c r="J166" vm="1754">
        <f ca="1"/>
        <v>257.18</v>
      </c>
      <c r="K166" vm="1755">
        <f ca="1"/>
        <v>134.91</v>
      </c>
    </row>
    <row r="167" spans="1:1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 vm="1761">
        <f ca="1"/>
        <v>49.264000000000003</v>
      </c>
      <c r="G167" vm="1762">
        <f ca="1"/>
        <v>148.16</v>
      </c>
      <c r="H167" vm="1763">
        <f ca="1"/>
        <v>246.23</v>
      </c>
      <c r="I167" vm="1220">
        <f ca="1"/>
        <v>163.72999999999999</v>
      </c>
      <c r="J167" vm="1764">
        <f ca="1"/>
        <v>256.89999999999998</v>
      </c>
      <c r="K167" vm="1664">
        <f ca="1"/>
        <v>135.07</v>
      </c>
    </row>
    <row r="168" spans="1:1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 vm="1770">
        <f ca="1"/>
        <v>49.354999999999997</v>
      </c>
      <c r="G168" vm="1771">
        <f ca="1"/>
        <v>146.33000000000001</v>
      </c>
      <c r="H168" vm="1772">
        <f ca="1"/>
        <v>245.68</v>
      </c>
      <c r="I168" vm="1773">
        <f ca="1"/>
        <v>161.68</v>
      </c>
      <c r="J168" vm="1774">
        <f ca="1"/>
        <v>258.08</v>
      </c>
      <c r="K168" vm="1775">
        <f ca="1"/>
        <v>138.01</v>
      </c>
    </row>
    <row r="169" spans="1:1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 vm="1781">
        <f ca="1"/>
        <v>48.509</v>
      </c>
      <c r="G169" vm="1782">
        <f ca="1"/>
        <v>146.82</v>
      </c>
      <c r="H169" vm="1783">
        <f ca="1"/>
        <v>248.11</v>
      </c>
      <c r="I169" vm="1784">
        <f ca="1"/>
        <v>160.47999999999999</v>
      </c>
      <c r="J169" vm="1785">
        <f ca="1"/>
        <v>245.01</v>
      </c>
      <c r="K169" vm="1786">
        <f ca="1"/>
        <v>138.12</v>
      </c>
    </row>
    <row r="170" spans="1:1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 vm="1792">
        <f ca="1"/>
        <v>48.548000000000002</v>
      </c>
      <c r="G170" vm="1793">
        <f ca="1"/>
        <v>145.19999999999999</v>
      </c>
      <c r="H170" vm="1627">
        <f ca="1"/>
        <v>245.34</v>
      </c>
      <c r="I170" vm="1794">
        <f ca="1"/>
        <v>160.68</v>
      </c>
      <c r="J170" vm="1795">
        <f ca="1"/>
        <v>256.49</v>
      </c>
      <c r="K170" vm="150">
        <f ca="1"/>
        <v>137.27000000000001</v>
      </c>
    </row>
    <row r="171" spans="1:1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 vm="1801">
        <f ca="1"/>
        <v>47.061</v>
      </c>
      <c r="G171" vm="1802">
        <f ca="1"/>
        <v>144.96</v>
      </c>
      <c r="H171" vm="1803">
        <f ca="1"/>
        <v>246.16</v>
      </c>
      <c r="I171" vm="1804">
        <f ca="1"/>
        <v>158.01</v>
      </c>
      <c r="J171" vm="1805">
        <f ca="1"/>
        <v>251.92</v>
      </c>
      <c r="K171" vm="104">
        <f ca="1"/>
        <v>135.36000000000001</v>
      </c>
    </row>
    <row r="172" spans="1:1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 vm="1811">
        <f ca="1"/>
        <v>46.241</v>
      </c>
      <c r="G172" vm="1812">
        <f ca="1"/>
        <v>143.72</v>
      </c>
      <c r="H172" vm="1813">
        <f ca="1"/>
        <v>247.14</v>
      </c>
      <c r="I172" vm="1814">
        <f ca="1"/>
        <v>160.03</v>
      </c>
      <c r="J172" vm="1815">
        <f ca="1"/>
        <v>251.49</v>
      </c>
      <c r="K172" vm="1617">
        <f ca="1"/>
        <v>137.85</v>
      </c>
    </row>
    <row r="173" spans="1:1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 vm="1820">
        <f ca="1"/>
        <v>45.572000000000003</v>
      </c>
      <c r="G173" vm="1821">
        <f ca="1"/>
        <v>143.83000000000001</v>
      </c>
      <c r="H173" vm="1822">
        <f ca="1"/>
        <v>247.29</v>
      </c>
      <c r="I173" vm="1823">
        <f ca="1"/>
        <v>160.56</v>
      </c>
      <c r="J173" vm="1824">
        <f ca="1"/>
        <v>248.5</v>
      </c>
      <c r="K173" vm="1825">
        <f ca="1"/>
        <v>138.22999999999999</v>
      </c>
    </row>
    <row r="174" spans="1:1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 vm="1831">
        <f ca="1"/>
        <v>45.177999999999997</v>
      </c>
      <c r="G174" vm="1832">
        <f ca="1"/>
        <v>144.46</v>
      </c>
      <c r="H174" vm="1833">
        <f ca="1"/>
        <v>247.22</v>
      </c>
      <c r="I174" vm="1834">
        <f ca="1"/>
        <v>162.66</v>
      </c>
      <c r="J174" vm="1835">
        <f ca="1"/>
        <v>273.58</v>
      </c>
      <c r="K174" vm="1836">
        <f ca="1"/>
        <v>143.1</v>
      </c>
    </row>
    <row r="175" spans="1:1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 vm="1841">
        <f ca="1"/>
        <v>44.87</v>
      </c>
      <c r="G175" vm="1842">
        <f ca="1"/>
        <v>146.34</v>
      </c>
      <c r="H175" vm="1843">
        <f ca="1"/>
        <v>247.3</v>
      </c>
      <c r="I175" vm="810">
        <f ca="1"/>
        <v>163.58000000000001</v>
      </c>
      <c r="J175" vm="1844">
        <f ca="1"/>
        <v>267.48</v>
      </c>
      <c r="K175" vm="1845">
        <f ca="1"/>
        <v>141.22999999999999</v>
      </c>
    </row>
    <row r="176" spans="1:1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 vm="1850">
        <f ca="1"/>
        <v>45.484999999999999</v>
      </c>
      <c r="G176" vm="1851">
        <f ca="1"/>
        <v>146.41</v>
      </c>
      <c r="H176" vm="1852">
        <f ca="1"/>
        <v>247.83</v>
      </c>
      <c r="I176" vm="1853">
        <f ca="1"/>
        <v>163.99</v>
      </c>
      <c r="J176" vm="1854">
        <f ca="1"/>
        <v>271.3</v>
      </c>
      <c r="K176" vm="1855">
        <f ca="1"/>
        <v>144.85</v>
      </c>
    </row>
    <row r="177" spans="1:1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 vm="1861">
        <f ca="1"/>
        <v>45.581000000000003</v>
      </c>
      <c r="G177" vm="1862">
        <f ca="1"/>
        <v>149.25</v>
      </c>
      <c r="H177" vm="1863">
        <f ca="1"/>
        <v>241.5</v>
      </c>
      <c r="I177" vm="1864">
        <f ca="1"/>
        <v>163.74</v>
      </c>
      <c r="J177" vm="1865">
        <f ca="1"/>
        <v>276.04000000000002</v>
      </c>
      <c r="K177" vm="1866">
        <f ca="1"/>
        <v>144.72</v>
      </c>
    </row>
    <row r="178" spans="1:1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 vm="1872">
        <f ca="1"/>
        <v>43.9</v>
      </c>
      <c r="G178" vm="1873">
        <f ca="1"/>
        <v>148.81</v>
      </c>
      <c r="H178" vm="1874">
        <f ca="1"/>
        <v>241.07</v>
      </c>
      <c r="I178" vm="1875">
        <f ca="1"/>
        <v>161.44999999999999</v>
      </c>
      <c r="J178" vm="1876">
        <f ca="1"/>
        <v>274.39</v>
      </c>
      <c r="K178" vm="1877">
        <f ca="1"/>
        <v>140.38999999999999</v>
      </c>
    </row>
    <row r="179" spans="1:1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 vm="1882">
        <f ca="1"/>
        <v>43.966000000000001</v>
      </c>
      <c r="G179" vm="1883">
        <f ca="1"/>
        <v>149.12</v>
      </c>
      <c r="H179" vm="1884">
        <f ca="1"/>
        <v>244.66</v>
      </c>
      <c r="I179" vm="1885">
        <f ca="1"/>
        <v>162.47</v>
      </c>
      <c r="J179" vm="1500">
        <f ca="1"/>
        <v>265.27999999999997</v>
      </c>
      <c r="K179" vm="181">
        <f ca="1"/>
        <v>139.97999999999999</v>
      </c>
    </row>
    <row r="180" spans="1:1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 vm="1891">
        <f ca="1"/>
        <v>43.52</v>
      </c>
      <c r="G180" vm="1892">
        <f ca="1"/>
        <v>148.93</v>
      </c>
      <c r="H180" vm="1893">
        <f ca="1"/>
        <v>243.56</v>
      </c>
      <c r="I180" vm="1894">
        <f ca="1"/>
        <v>162.19999999999999</v>
      </c>
      <c r="J180" vm="1895">
        <f ca="1"/>
        <v>266.5</v>
      </c>
      <c r="K180" vm="1896">
        <f ca="1"/>
        <v>137.63</v>
      </c>
    </row>
    <row r="181" spans="1:1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 vm="1902">
        <f ca="1"/>
        <v>42.238999999999997</v>
      </c>
      <c r="G181" vm="1903">
        <f ca="1"/>
        <v>148.30000000000001</v>
      </c>
      <c r="H181" vm="1904">
        <f ca="1"/>
        <v>241.86</v>
      </c>
      <c r="I181" vm="1905">
        <f ca="1"/>
        <v>162.91</v>
      </c>
      <c r="J181" vm="1906">
        <f ca="1"/>
        <v>262.58999999999997</v>
      </c>
      <c r="K181" vm="1907">
        <f ca="1"/>
        <v>135.29</v>
      </c>
    </row>
    <row r="182" spans="1:1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 vm="1913">
        <f ca="1"/>
        <v>41.017000000000003</v>
      </c>
      <c r="G182" vm="1914">
        <f ca="1"/>
        <v>147.13999999999999</v>
      </c>
      <c r="H182" vm="1915">
        <f ca="1"/>
        <v>236.61</v>
      </c>
      <c r="I182" vm="1916">
        <f ca="1"/>
        <v>161.66</v>
      </c>
      <c r="J182" vm="1917">
        <f ca="1"/>
        <v>255.7</v>
      </c>
      <c r="K182" vm="1275">
        <f ca="1"/>
        <v>129.33000000000001</v>
      </c>
    </row>
    <row r="183" spans="1:1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 vm="1923">
        <f ca="1"/>
        <v>41.61</v>
      </c>
      <c r="G183" vm="1924">
        <f ca="1"/>
        <v>145.72999999999999</v>
      </c>
      <c r="H183" vm="1925">
        <f ca="1"/>
        <v>235.08</v>
      </c>
      <c r="I183" vm="1926">
        <f ca="1"/>
        <v>160.5</v>
      </c>
      <c r="J183" vm="1927">
        <f ca="1"/>
        <v>244.88</v>
      </c>
      <c r="K183" vm="1928">
        <f ca="1"/>
        <v>129.12</v>
      </c>
    </row>
    <row r="184" spans="1:1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 vm="1934">
        <f ca="1"/>
        <v>42.222000000000001</v>
      </c>
      <c r="G184" vm="1935">
        <f ca="1"/>
        <v>146.44999999999999</v>
      </c>
      <c r="H184" vm="1936">
        <f ca="1"/>
        <v>233.36</v>
      </c>
      <c r="I184" vm="1170">
        <f ca="1"/>
        <v>160.26</v>
      </c>
      <c r="J184" vm="1937">
        <f ca="1"/>
        <v>246.99</v>
      </c>
      <c r="K184" vm="1938">
        <f ca="1"/>
        <v>131.27000000000001</v>
      </c>
    </row>
    <row r="185" spans="1:1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 vm="1944">
        <f ca="1"/>
        <v>41.911000000000001</v>
      </c>
      <c r="G185" vm="1945">
        <f ca="1"/>
        <v>144.93</v>
      </c>
      <c r="H185" vm="1946">
        <f ca="1"/>
        <v>229.65</v>
      </c>
      <c r="I185" vm="1947">
        <f ca="1"/>
        <v>159.02000000000001</v>
      </c>
      <c r="J185" vm="1948">
        <f ca="1"/>
        <v>244.12</v>
      </c>
      <c r="K185" vm="1949">
        <f ca="1"/>
        <v>125.98</v>
      </c>
    </row>
    <row r="186" spans="1:1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 vm="1955">
        <f ca="1"/>
        <v>42.468000000000004</v>
      </c>
      <c r="G186" vm="1956">
        <f ca="1"/>
        <v>145.78</v>
      </c>
      <c r="H186" vm="1957">
        <f ca="1"/>
        <v>229.5</v>
      </c>
      <c r="I186" vm="1958">
        <f ca="1"/>
        <v>157.11000000000001</v>
      </c>
      <c r="J186" vm="1959">
        <f ca="1"/>
        <v>240.5</v>
      </c>
      <c r="K186" vm="1949">
        <f ca="1"/>
        <v>125.98</v>
      </c>
    </row>
    <row r="187" spans="1:1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 vm="1965">
        <f ca="1"/>
        <v>43.088999999999999</v>
      </c>
      <c r="G187" vm="1966">
        <f ca="1"/>
        <v>147.59</v>
      </c>
      <c r="H187" vm="1967">
        <f ca="1"/>
        <v>231.66</v>
      </c>
      <c r="I187" vm="1968">
        <f ca="1"/>
        <v>156.88</v>
      </c>
      <c r="J187" vm="1969">
        <f ca="1"/>
        <v>246.38</v>
      </c>
      <c r="K187" vm="1949">
        <f ca="1"/>
        <v>125.98</v>
      </c>
    </row>
    <row r="188" spans="1:1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 vm="1975">
        <f ca="1"/>
        <v>43.499000000000002</v>
      </c>
      <c r="G188" vm="1976">
        <f ca="1"/>
        <v>145.02000000000001</v>
      </c>
      <c r="H188" vm="1977">
        <f ca="1"/>
        <v>230.01</v>
      </c>
      <c r="I188" vm="1978">
        <f ca="1"/>
        <v>155.75</v>
      </c>
      <c r="J188" vm="1979">
        <f ca="1"/>
        <v>250.22</v>
      </c>
      <c r="K188" vm="1980">
        <f ca="1"/>
        <v>127.12</v>
      </c>
    </row>
    <row r="189" spans="1:1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 vm="1985">
        <f ca="1"/>
        <v>44.781999999999996</v>
      </c>
      <c r="G189" vm="1986">
        <f ca="1"/>
        <v>143.77000000000001</v>
      </c>
      <c r="H189" vm="959">
        <f ca="1"/>
        <v>231.27</v>
      </c>
      <c r="I189" vm="1987">
        <f ca="1"/>
        <v>155.15</v>
      </c>
      <c r="J189" vm="1988">
        <f ca="1"/>
        <v>251.6</v>
      </c>
      <c r="K189" vm="1989">
        <f ca="1"/>
        <v>129.46</v>
      </c>
    </row>
    <row r="190" spans="1:1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 vm="1995">
        <f ca="1"/>
        <v>43.517000000000003</v>
      </c>
      <c r="G190" vm="1996">
        <f ca="1"/>
        <v>142.71</v>
      </c>
      <c r="H190" vm="1997">
        <f ca="1"/>
        <v>228.81</v>
      </c>
      <c r="I190" vm="1998">
        <f ca="1"/>
        <v>155.34</v>
      </c>
      <c r="J190" vm="1999">
        <f ca="1"/>
        <v>246.53</v>
      </c>
      <c r="K190" vm="2000">
        <f ca="1"/>
        <v>124.72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4"/>
  <sheetViews>
    <sheetView tabSelected="1" topLeftCell="C1" workbookViewId="0">
      <selection activeCell="K18" sqref="K18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0" max="13" width="12.28515625" customWidth="1"/>
    <col min="14" max="14" width="15.42578125" customWidth="1"/>
    <col min="15" max="18" width="9.5703125" customWidth="1"/>
    <col min="19" max="19" width="11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22</v>
      </c>
      <c r="Q1" t="s">
        <v>23</v>
      </c>
      <c r="R1" t="s">
        <v>24</v>
      </c>
      <c r="S1" t="s">
        <v>20</v>
      </c>
      <c r="T1" t="s">
        <v>25</v>
      </c>
    </row>
    <row r="2" spans="1:20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F2*B2</f>
        <v>200112</v>
      </c>
      <c r="K2">
        <f ca="1">G2*C2</f>
        <v>1772892</v>
      </c>
      <c r="L2">
        <f ca="1">H2*D2</f>
        <v>1114000</v>
      </c>
      <c r="M2">
        <f ca="1">I2*E2</f>
        <v>1309770</v>
      </c>
      <c r="N2">
        <f ca="1">SUM(J2:M2)</f>
        <v>4396774</v>
      </c>
      <c r="O2">
        <f ca="1">J2/N2</f>
        <v>4.5513369575056618E-2</v>
      </c>
      <c r="P2">
        <f ca="1">K2/N2</f>
        <v>0.40322563770619096</v>
      </c>
      <c r="Q2">
        <f ca="1">L2/N2</f>
        <v>0.25336758268676079</v>
      </c>
      <c r="R2">
        <f ca="1">M2/N2</f>
        <v>0.29789341003199166</v>
      </c>
      <c r="T2">
        <f>1000</f>
        <v>1000</v>
      </c>
    </row>
    <row r="3" spans="1:20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F3*B3</f>
        <v>202176</v>
      </c>
      <c r="K3">
        <f t="shared" ref="K3:K66" ca="1" si="1">G3*C3</f>
        <v>1695340</v>
      </c>
      <c r="L3">
        <f t="shared" ref="L3:L66" ca="1" si="2">H3*D3</f>
        <v>1101000</v>
      </c>
      <c r="M3">
        <f t="shared" ref="M3:M66" ca="1" si="3">I3*E3</f>
        <v>1337385</v>
      </c>
      <c r="N3">
        <f t="shared" ref="N3:N66" ca="1" si="4">SUM(J3:M3)</f>
        <v>4335901</v>
      </c>
      <c r="O3">
        <f t="shared" ref="O3:O66" ca="1" si="5">J3/N3</f>
        <v>4.662837089684474E-2</v>
      </c>
      <c r="P3">
        <f t="shared" ref="P3:P66" ca="1" si="6">K3/N3</f>
        <v>0.39100062478363784</v>
      </c>
      <c r="Q3">
        <f t="shared" ref="Q3:Q66" ca="1" si="7">L3/N3</f>
        <v>0.25392646188185569</v>
      </c>
      <c r="R3">
        <f t="shared" ref="R3:R66" ca="1" si="8">M3/N3</f>
        <v>0.30844454243766173</v>
      </c>
      <c r="S3" cm="1">
        <f t="array" aca="1" ref="S3" ca="1">SUMPRODUCT(O2:R2*(B3:E3-B2:E2)/B2:E2)</f>
        <v>-1.3844923573510963E-2</v>
      </c>
      <c r="T3">
        <f ca="1">1000*(S3+1)</f>
        <v>986.15507642648902</v>
      </c>
    </row>
    <row r="4" spans="1:20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0"/>
        <v>200032</v>
      </c>
      <c r="K4">
        <f t="shared" ca="1" si="1"/>
        <v>1645094</v>
      </c>
      <c r="L4">
        <f t="shared" ca="1" si="2"/>
        <v>1077500</v>
      </c>
      <c r="M4">
        <f t="shared" ca="1" si="3"/>
        <v>1332870</v>
      </c>
      <c r="N4">
        <f t="shared" ca="1" si="4"/>
        <v>4255496</v>
      </c>
      <c r="O4">
        <f t="shared" ca="1" si="5"/>
        <v>4.7005566448658394E-2</v>
      </c>
      <c r="P4">
        <f t="shared" ca="1" si="6"/>
        <v>0.38658102369265535</v>
      </c>
      <c r="Q4">
        <f t="shared" ca="1" si="7"/>
        <v>0.25320197692583896</v>
      </c>
      <c r="R4">
        <f t="shared" ca="1" si="8"/>
        <v>0.31321143293284731</v>
      </c>
      <c r="S4" cm="1">
        <f t="array" aca="1" ref="S4" ca="1">SUMPRODUCT(O3:R3*(B4:E4-B3:E3)/B3:E3)</f>
        <v>-1.8544011959682648E-2</v>
      </c>
      <c r="T4">
        <f t="shared" ref="T4:T67" ca="1" si="9">1000*(S4+1)</f>
        <v>981.45598804031727</v>
      </c>
    </row>
    <row r="5" spans="1:20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207392</v>
      </c>
      <c r="K5">
        <f t="shared" ca="1" si="1"/>
        <v>1664482</v>
      </c>
      <c r="L5">
        <f t="shared" ca="1" si="2"/>
        <v>1091750</v>
      </c>
      <c r="M5">
        <f t="shared" ca="1" si="3"/>
        <v>1365210</v>
      </c>
      <c r="N5">
        <f t="shared" ca="1" si="4"/>
        <v>4328834</v>
      </c>
      <c r="O5">
        <f t="shared" ca="1" si="5"/>
        <v>4.7909437044709964E-2</v>
      </c>
      <c r="P5">
        <f t="shared" ca="1" si="6"/>
        <v>0.38451047094898994</v>
      </c>
      <c r="Q5">
        <f t="shared" ca="1" si="7"/>
        <v>0.25220417322539973</v>
      </c>
      <c r="R5">
        <f t="shared" ca="1" si="8"/>
        <v>0.31537591878090038</v>
      </c>
      <c r="S5" cm="1">
        <f t="array" aca="1" ref="S5" ca="1">SUMPRODUCT(O4:R4*(B5:E5-B4:E4)/B4:E4)</f>
        <v>1.7233713766855892E-2</v>
      </c>
      <c r="T5">
        <f t="shared" ca="1" si="9"/>
        <v>1017.2337137668559</v>
      </c>
    </row>
    <row r="6" spans="1:20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208240</v>
      </c>
      <c r="K6">
        <f t="shared" ca="1" si="1"/>
        <v>1680688</v>
      </c>
      <c r="L6">
        <f t="shared" ca="1" si="2"/>
        <v>1100250</v>
      </c>
      <c r="M6">
        <f t="shared" ca="1" si="3"/>
        <v>1359435</v>
      </c>
      <c r="N6">
        <f t="shared" ca="1" si="4"/>
        <v>4348613</v>
      </c>
      <c r="O6">
        <f t="shared" ca="1" si="5"/>
        <v>4.7886533016389364E-2</v>
      </c>
      <c r="P6">
        <f t="shared" ca="1" si="6"/>
        <v>0.38648828948448621</v>
      </c>
      <c r="Q6">
        <f t="shared" ca="1" si="7"/>
        <v>0.25301170741107565</v>
      </c>
      <c r="R6">
        <f t="shared" ca="1" si="8"/>
        <v>0.31261347008804874</v>
      </c>
      <c r="S6" cm="1">
        <f t="array" aca="1" ref="S6" ca="1">SUMPRODUCT(O5:R5*(B6:E6-B5:E5)/B5:E5)</f>
        <v>4.5691287769408055E-3</v>
      </c>
      <c r="T6">
        <f t="shared" ca="1" si="9"/>
        <v>1004.5691287769407</v>
      </c>
    </row>
    <row r="7" spans="1:20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209167.99999999997</v>
      </c>
      <c r="K7">
        <f t="shared" ca="1" si="1"/>
        <v>1693490</v>
      </c>
      <c r="L7">
        <f t="shared" ca="1" si="2"/>
        <v>1105250</v>
      </c>
      <c r="M7">
        <f t="shared" ca="1" si="3"/>
        <v>1396395</v>
      </c>
      <c r="N7">
        <f t="shared" ca="1" si="4"/>
        <v>4404303</v>
      </c>
      <c r="O7">
        <f t="shared" ca="1" si="5"/>
        <v>4.7491737058054352E-2</v>
      </c>
      <c r="P7">
        <f t="shared" ca="1" si="6"/>
        <v>0.38450805950453454</v>
      </c>
      <c r="Q7">
        <f t="shared" ca="1" si="7"/>
        <v>0.25094776630944782</v>
      </c>
      <c r="R7">
        <f t="shared" ca="1" si="8"/>
        <v>0.31705243712796327</v>
      </c>
      <c r="S7" cm="1">
        <f t="array" aca="1" ref="S7" ca="1">SUMPRODUCT(O6:R6*(B7:E7-B6:E6)/B6:E6)</f>
        <v>1.2806382172890545E-2</v>
      </c>
      <c r="T7">
        <f t="shared" ca="1" si="9"/>
        <v>1012.8063821728905</v>
      </c>
    </row>
    <row r="8" spans="1:20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213584</v>
      </c>
      <c r="K8">
        <f t="shared" ca="1" si="1"/>
        <v>1744698</v>
      </c>
      <c r="L8">
        <f t="shared" ca="1" si="2"/>
        <v>1144000</v>
      </c>
      <c r="M8">
        <f t="shared" ca="1" si="3"/>
        <v>1395344.9999999998</v>
      </c>
      <c r="N8">
        <f t="shared" ca="1" si="4"/>
        <v>4497627</v>
      </c>
      <c r="O8">
        <f t="shared" ca="1" si="5"/>
        <v>4.7488153197230452E-2</v>
      </c>
      <c r="P8">
        <f t="shared" ca="1" si="6"/>
        <v>0.38791522729652772</v>
      </c>
      <c r="Q8">
        <f t="shared" ca="1" si="7"/>
        <v>0.2543563528056017</v>
      </c>
      <c r="R8">
        <f t="shared" ca="1" si="8"/>
        <v>0.31024026670064009</v>
      </c>
      <c r="S8" cm="1">
        <f t="array" aca="1" ref="S8" ca="1">SUMPRODUCT(O7:R7*(B8:E8-B7:E7)/B7:E7)</f>
        <v>2.1189277849412231E-2</v>
      </c>
      <c r="T8">
        <f t="shared" ca="1" si="9"/>
        <v>1021.1892778494123</v>
      </c>
    </row>
    <row r="9" spans="1:20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213456</v>
      </c>
      <c r="K9">
        <f t="shared" ca="1" si="1"/>
        <v>1764974</v>
      </c>
      <c r="L9">
        <f t="shared" ca="1" si="2"/>
        <v>1139125</v>
      </c>
      <c r="M9">
        <f t="shared" ca="1" si="3"/>
        <v>1435455</v>
      </c>
      <c r="N9">
        <f t="shared" ca="1" si="4"/>
        <v>4553010</v>
      </c>
      <c r="O9">
        <f t="shared" ca="1" si="5"/>
        <v>4.6882392087871538E-2</v>
      </c>
      <c r="P9">
        <f t="shared" ca="1" si="6"/>
        <v>0.3876499282891977</v>
      </c>
      <c r="Q9">
        <f t="shared" ca="1" si="7"/>
        <v>0.25019163147017026</v>
      </c>
      <c r="R9">
        <f t="shared" ca="1" si="8"/>
        <v>0.3152760481527605</v>
      </c>
      <c r="S9" cm="1">
        <f t="array" aca="1" ref="S9" ca="1">SUMPRODUCT(O8:R8*(B9:E9-B8:E8)/B8:E8)</f>
        <v>1.2313826824678893E-2</v>
      </c>
      <c r="T9">
        <f t="shared" ca="1" si="9"/>
        <v>1012.3138268246789</v>
      </c>
    </row>
    <row r="10" spans="1:20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215616</v>
      </c>
      <c r="K10">
        <f t="shared" ca="1" si="1"/>
        <v>1770302</v>
      </c>
      <c r="L10">
        <f t="shared" ca="1" si="2"/>
        <v>1151500</v>
      </c>
      <c r="M10">
        <f t="shared" ca="1" si="3"/>
        <v>1438290</v>
      </c>
      <c r="N10">
        <f t="shared" ca="1" si="4"/>
        <v>4575708</v>
      </c>
      <c r="O10">
        <f t="shared" ca="1" si="5"/>
        <v>4.7121888022574866E-2</v>
      </c>
      <c r="P10">
        <f t="shared" ca="1" si="6"/>
        <v>0.3868913838033371</v>
      </c>
      <c r="Q10">
        <f t="shared" ca="1" si="7"/>
        <v>0.25165504442154091</v>
      </c>
      <c r="R10">
        <f t="shared" ca="1" si="8"/>
        <v>0.31433168375254716</v>
      </c>
      <c r="S10" cm="1">
        <f t="array" aca="1" ref="S10" ca="1">SUMPRODUCT(O9:R9*(B10:E10-B9:E9)/B9:E9)</f>
        <v>4.9852734784241425E-3</v>
      </c>
      <c r="T10">
        <f t="shared" ca="1" si="9"/>
        <v>1004.9852734784241</v>
      </c>
    </row>
    <row r="11" spans="1:20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217504</v>
      </c>
      <c r="K11">
        <f t="shared" ca="1" si="1"/>
        <v>1778590</v>
      </c>
      <c r="L11">
        <f t="shared" ca="1" si="2"/>
        <v>1141125</v>
      </c>
      <c r="M11">
        <f t="shared" ca="1" si="3"/>
        <v>1421280.0000000002</v>
      </c>
      <c r="N11">
        <f t="shared" ca="1" si="4"/>
        <v>4558499</v>
      </c>
      <c r="O11">
        <f t="shared" ca="1" si="5"/>
        <v>4.7713951456389479E-2</v>
      </c>
      <c r="P11">
        <f t="shared" ca="1" si="6"/>
        <v>0.3901700976571455</v>
      </c>
      <c r="Q11">
        <f t="shared" ca="1" si="7"/>
        <v>0.25032911052519702</v>
      </c>
      <c r="R11">
        <f t="shared" ca="1" si="8"/>
        <v>0.31178684036126808</v>
      </c>
      <c r="S11" cm="1">
        <f t="array" aca="1" ref="S11" ca="1">SUMPRODUCT(O10:R10*(B11:E11-B10:E10)/B10:E10)</f>
        <v>-3.7609480325229852E-3</v>
      </c>
      <c r="T11">
        <f t="shared" ca="1" si="9"/>
        <v>996.23905196747694</v>
      </c>
    </row>
    <row r="12" spans="1:20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216336</v>
      </c>
      <c r="K12">
        <f t="shared" ca="1" si="1"/>
        <v>1744994</v>
      </c>
      <c r="L12">
        <f t="shared" ca="1" si="2"/>
        <v>1139000</v>
      </c>
      <c r="M12">
        <f t="shared" ca="1" si="3"/>
        <v>1396710</v>
      </c>
      <c r="N12">
        <f t="shared" ca="1" si="4"/>
        <v>4497040</v>
      </c>
      <c r="O12">
        <f t="shared" ca="1" si="5"/>
        <v>4.8106309928308395E-2</v>
      </c>
      <c r="P12">
        <f t="shared" ca="1" si="6"/>
        <v>0.38803168306263675</v>
      </c>
      <c r="Q12">
        <f t="shared" ca="1" si="7"/>
        <v>0.25327771156138262</v>
      </c>
      <c r="R12">
        <f t="shared" ca="1" si="8"/>
        <v>0.31058429544767224</v>
      </c>
      <c r="S12" cm="1">
        <f t="array" aca="1" ref="S12" ca="1">SUMPRODUCT(O11:R11*(B12:E12-B11:E11)/B11:E11)</f>
        <v>-1.3482288797255408E-2</v>
      </c>
      <c r="T12">
        <f t="shared" ca="1" si="9"/>
        <v>986.51771120274452</v>
      </c>
    </row>
    <row r="13" spans="1:20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216432.00000000003</v>
      </c>
      <c r="K13">
        <f t="shared" ca="1" si="1"/>
        <v>1716282</v>
      </c>
      <c r="L13">
        <f t="shared" ca="1" si="2"/>
        <v>1163125</v>
      </c>
      <c r="M13">
        <f t="shared" ca="1" si="3"/>
        <v>1429575</v>
      </c>
      <c r="N13">
        <f t="shared" ca="1" si="4"/>
        <v>4525414</v>
      </c>
      <c r="O13">
        <f t="shared" ca="1" si="5"/>
        <v>4.7825900569539059E-2</v>
      </c>
      <c r="P13">
        <f t="shared" ca="1" si="6"/>
        <v>0.37925414116807876</v>
      </c>
      <c r="Q13">
        <f t="shared" ca="1" si="7"/>
        <v>0.25702068363248093</v>
      </c>
      <c r="R13">
        <f t="shared" ca="1" si="8"/>
        <v>0.31589927462990125</v>
      </c>
      <c r="S13" cm="1">
        <f t="array" aca="1" ref="S13" ca="1">SUMPRODUCT(O12:R12*(B13:E13-B12:E12)/B12:E12)</f>
        <v>6.309483571415842E-3</v>
      </c>
      <c r="T13">
        <f t="shared" ca="1" si="9"/>
        <v>1006.309483571416</v>
      </c>
    </row>
    <row r="14" spans="1:20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220592</v>
      </c>
      <c r="K14">
        <f t="shared" ca="1" si="1"/>
        <v>1777628</v>
      </c>
      <c r="L14">
        <f t="shared" ca="1" si="2"/>
        <v>1225250</v>
      </c>
      <c r="M14">
        <f t="shared" ca="1" si="3"/>
        <v>1463385</v>
      </c>
      <c r="N14">
        <f t="shared" ca="1" si="4"/>
        <v>4686855</v>
      </c>
      <c r="O14">
        <f t="shared" ca="1" si="5"/>
        <v>4.7066102962434297E-2</v>
      </c>
      <c r="P14">
        <f t="shared" ca="1" si="6"/>
        <v>0.37927949552525092</v>
      </c>
      <c r="Q14">
        <f t="shared" ca="1" si="7"/>
        <v>0.26142263842171348</v>
      </c>
      <c r="R14">
        <f t="shared" ca="1" si="8"/>
        <v>0.31223176309060124</v>
      </c>
      <c r="S14" cm="1">
        <f t="array" aca="1" ref="S14" ca="1">SUMPRODUCT(O13:R13*(B14:E14-B13:E13)/B13:E13)</f>
        <v>3.5674305157494958E-2</v>
      </c>
      <c r="T14">
        <f t="shared" ca="1" si="9"/>
        <v>1035.6743051574949</v>
      </c>
    </row>
    <row r="15" spans="1:20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225776.00000000003</v>
      </c>
      <c r="K15">
        <f t="shared" ca="1" si="1"/>
        <v>1795092</v>
      </c>
      <c r="L15">
        <f t="shared" ca="1" si="2"/>
        <v>1247375</v>
      </c>
      <c r="M15">
        <f t="shared" ca="1" si="3"/>
        <v>1504335</v>
      </c>
      <c r="N15">
        <f t="shared" ca="1" si="4"/>
        <v>4772578</v>
      </c>
      <c r="O15">
        <f t="shared" ca="1" si="5"/>
        <v>4.7306927199513557E-2</v>
      </c>
      <c r="P15">
        <f t="shared" ca="1" si="6"/>
        <v>0.37612627808283072</v>
      </c>
      <c r="Q15">
        <f t="shared" ca="1" si="7"/>
        <v>0.26136293634174235</v>
      </c>
      <c r="R15">
        <f t="shared" ca="1" si="8"/>
        <v>0.31520385837591341</v>
      </c>
      <c r="S15" cm="1">
        <f t="array" aca="1" ref="S15" ca="1">SUMPRODUCT(O14:R14*(B15:E15-B14:E14)/B14:E14)</f>
        <v>1.8290090049724241E-2</v>
      </c>
      <c r="T15">
        <f t="shared" ca="1" si="9"/>
        <v>1018.2900900497243</v>
      </c>
    </row>
    <row r="16" spans="1:20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228048</v>
      </c>
      <c r="K16">
        <f t="shared" ca="1" si="1"/>
        <v>1791096</v>
      </c>
      <c r="L16">
        <f t="shared" ca="1" si="2"/>
        <v>1221250</v>
      </c>
      <c r="M16">
        <f t="shared" ca="1" si="3"/>
        <v>1502969.9999999998</v>
      </c>
      <c r="N16">
        <f t="shared" ca="1" si="4"/>
        <v>4743364</v>
      </c>
      <c r="O16">
        <f t="shared" ca="1" si="5"/>
        <v>4.8077271742164425E-2</v>
      </c>
      <c r="P16">
        <f t="shared" ca="1" si="6"/>
        <v>0.37760036969543137</v>
      </c>
      <c r="Q16">
        <f t="shared" ca="1" si="7"/>
        <v>0.25746495525116775</v>
      </c>
      <c r="R16">
        <f t="shared" ca="1" si="8"/>
        <v>0.31685740331123646</v>
      </c>
      <c r="S16" cm="1">
        <f t="array" aca="1" ref="S16" ca="1">SUMPRODUCT(O15:R15*(B16:E16-B15:E15)/B15:E15)</f>
        <v>-6.1212200198719566E-3</v>
      </c>
      <c r="T16">
        <f t="shared" ca="1" si="9"/>
        <v>993.87877998012812</v>
      </c>
    </row>
    <row r="17" spans="1:20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226976.00000000003</v>
      </c>
      <c r="K17">
        <f t="shared" ca="1" si="1"/>
        <v>1780514</v>
      </c>
      <c r="L17">
        <f t="shared" ca="1" si="2"/>
        <v>1190250</v>
      </c>
      <c r="M17">
        <f t="shared" ca="1" si="3"/>
        <v>1485750</v>
      </c>
      <c r="N17">
        <f t="shared" ca="1" si="4"/>
        <v>4683490</v>
      </c>
      <c r="O17">
        <f t="shared" ca="1" si="5"/>
        <v>4.8463005152140824E-2</v>
      </c>
      <c r="P17">
        <f t="shared" ca="1" si="6"/>
        <v>0.38016820789624833</v>
      </c>
      <c r="Q17">
        <f t="shared" ca="1" si="7"/>
        <v>0.25413740607965429</v>
      </c>
      <c r="R17">
        <f t="shared" ca="1" si="8"/>
        <v>0.31723138087195657</v>
      </c>
      <c r="S17" cm="1">
        <f t="array" aca="1" ref="S17" ca="1">SUMPRODUCT(O16:R16*(B17:E17-B16:E16)/B16:E16)</f>
        <v>-1.2622687189935186E-2</v>
      </c>
      <c r="T17">
        <f t="shared" ca="1" si="9"/>
        <v>987.37731281006484</v>
      </c>
    </row>
    <row r="18" spans="1:20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230336</v>
      </c>
      <c r="K18">
        <f t="shared" ca="1" si="1"/>
        <v>1835200</v>
      </c>
      <c r="L18">
        <f t="shared" ca="1" si="2"/>
        <v>1219000</v>
      </c>
      <c r="M18">
        <f t="shared" ca="1" si="3"/>
        <v>1546650.0000000002</v>
      </c>
      <c r="N18">
        <f t="shared" ca="1" si="4"/>
        <v>4831186</v>
      </c>
      <c r="O18">
        <f t="shared" ca="1" si="5"/>
        <v>4.7676905836372269E-2</v>
      </c>
      <c r="P18">
        <f t="shared" ca="1" si="6"/>
        <v>0.37986531671519169</v>
      </c>
      <c r="Q18">
        <f t="shared" ca="1" si="7"/>
        <v>0.25231899579109562</v>
      </c>
      <c r="R18">
        <f t="shared" ca="1" si="8"/>
        <v>0.3201387816573405</v>
      </c>
      <c r="S18" cm="1">
        <f t="array" aca="1" ref="S18" ca="1">SUMPRODUCT(O17:R17*(B18:E18-B17:E17)/B17:E17)</f>
        <v>3.1535457532737336E-2</v>
      </c>
      <c r="T18">
        <f t="shared" ca="1" si="9"/>
        <v>1031.5354575327374</v>
      </c>
    </row>
    <row r="19" spans="1:20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233488</v>
      </c>
      <c r="K19">
        <f t="shared" ca="1" si="1"/>
        <v>1836384</v>
      </c>
      <c r="L19">
        <f t="shared" ca="1" si="2"/>
        <v>1242125</v>
      </c>
      <c r="M19">
        <f t="shared" ca="1" si="3"/>
        <v>1593270</v>
      </c>
      <c r="N19">
        <f t="shared" ca="1" si="4"/>
        <v>4905267</v>
      </c>
      <c r="O19">
        <f t="shared" ca="1" si="5"/>
        <v>4.7599447695711568E-2</v>
      </c>
      <c r="P19">
        <f t="shared" ca="1" si="6"/>
        <v>0.37436983552577258</v>
      </c>
      <c r="Q19">
        <f t="shared" ca="1" si="7"/>
        <v>0.25322270938564606</v>
      </c>
      <c r="R19">
        <f t="shared" ca="1" si="8"/>
        <v>0.32480800739286975</v>
      </c>
      <c r="S19" cm="1">
        <f t="array" aca="1" ref="S19" ca="1">SUMPRODUCT(O18:R18*(B19:E19-B18:E18)/B18:E18)</f>
        <v>1.5333915936997679E-2</v>
      </c>
      <c r="T19">
        <f t="shared" ca="1" si="9"/>
        <v>1015.3339159369976</v>
      </c>
    </row>
    <row r="20" spans="1:20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228800</v>
      </c>
      <c r="K20">
        <f t="shared" ca="1" si="1"/>
        <v>1796054</v>
      </c>
      <c r="L20">
        <f t="shared" ca="1" si="2"/>
        <v>1211750</v>
      </c>
      <c r="M20">
        <f t="shared" ca="1" si="3"/>
        <v>1544130</v>
      </c>
      <c r="N20">
        <f t="shared" ca="1" si="4"/>
        <v>4780734</v>
      </c>
      <c r="O20">
        <f t="shared" ca="1" si="5"/>
        <v>4.7858759763668088E-2</v>
      </c>
      <c r="P20">
        <f t="shared" ca="1" si="6"/>
        <v>0.37568582564936681</v>
      </c>
      <c r="Q20">
        <f t="shared" ca="1" si="7"/>
        <v>0.25346526286549304</v>
      </c>
      <c r="R20">
        <f t="shared" ca="1" si="8"/>
        <v>0.32299015172147205</v>
      </c>
      <c r="S20" cm="1">
        <f t="array" aca="1" ref="S20" ca="1">SUMPRODUCT(O19:R19*(B20:E20-B19:E19)/B19:E19)</f>
        <v>-2.5387608870220534E-2</v>
      </c>
      <c r="T20">
        <f t="shared" ca="1" si="9"/>
        <v>974.61239112977944</v>
      </c>
    </row>
    <row r="21" spans="1:20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230864</v>
      </c>
      <c r="K21">
        <f t="shared" ca="1" si="1"/>
        <v>1833794</v>
      </c>
      <c r="L21">
        <f t="shared" ca="1" si="2"/>
        <v>1235500</v>
      </c>
      <c r="M21">
        <f t="shared" ca="1" si="3"/>
        <v>1564185</v>
      </c>
      <c r="N21">
        <f t="shared" ca="1" si="4"/>
        <v>4864343</v>
      </c>
      <c r="O21">
        <f t="shared" ca="1" si="5"/>
        <v>4.7460468967751655E-2</v>
      </c>
      <c r="P21">
        <f t="shared" ca="1" si="6"/>
        <v>0.37698698467603947</v>
      </c>
      <c r="Q21">
        <f t="shared" ca="1" si="7"/>
        <v>0.25399113508237392</v>
      </c>
      <c r="R21">
        <f t="shared" ca="1" si="8"/>
        <v>0.32156141127383492</v>
      </c>
      <c r="S21" cm="1">
        <f t="array" aca="1" ref="S21" ca="1">SUMPRODUCT(O20:R20*(B21:E21-B20:E20)/B20:E20)</f>
        <v>1.7488737085142151E-2</v>
      </c>
      <c r="T21">
        <f t="shared" ca="1" si="9"/>
        <v>1017.4887370851422</v>
      </c>
    </row>
    <row r="22" spans="1:20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232688</v>
      </c>
      <c r="K22">
        <f t="shared" ca="1" si="1"/>
        <v>1870350</v>
      </c>
      <c r="L22">
        <f t="shared" ca="1" si="2"/>
        <v>1255375</v>
      </c>
      <c r="M22">
        <f t="shared" ca="1" si="3"/>
        <v>1607760</v>
      </c>
      <c r="N22">
        <f t="shared" ca="1" si="4"/>
        <v>4966173</v>
      </c>
      <c r="O22">
        <f t="shared" ca="1" si="5"/>
        <v>4.6854590043480158E-2</v>
      </c>
      <c r="P22">
        <f t="shared" ca="1" si="6"/>
        <v>0.37661797122250879</v>
      </c>
      <c r="Q22">
        <f t="shared" ca="1" si="7"/>
        <v>0.25278519294434565</v>
      </c>
      <c r="R22">
        <f t="shared" ca="1" si="8"/>
        <v>0.32374224578966543</v>
      </c>
      <c r="S22" cm="1">
        <f t="array" aca="1" ref="S22" ca="1">SUMPRODUCT(O21:R21*(B22:E22-B21:E21)/B21:E21)</f>
        <v>2.093396785547403E-2</v>
      </c>
      <c r="T22">
        <f t="shared" ca="1" si="9"/>
        <v>1020.9339678554741</v>
      </c>
    </row>
    <row r="23" spans="1:20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241312</v>
      </c>
      <c r="K23">
        <f t="shared" ca="1" si="1"/>
        <v>1958040.0000000002</v>
      </c>
      <c r="L23">
        <f t="shared" ca="1" si="2"/>
        <v>1346750</v>
      </c>
      <c r="M23">
        <f t="shared" ca="1" si="3"/>
        <v>1982085</v>
      </c>
      <c r="N23">
        <f t="shared" ca="1" si="4"/>
        <v>5528187</v>
      </c>
      <c r="O23">
        <f t="shared" ca="1" si="5"/>
        <v>4.3651200655838884E-2</v>
      </c>
      <c r="P23">
        <f t="shared" ca="1" si="6"/>
        <v>0.35419207056490676</v>
      </c>
      <c r="Q23">
        <f t="shared" ca="1" si="7"/>
        <v>0.24361513096427453</v>
      </c>
      <c r="R23">
        <f t="shared" ca="1" si="8"/>
        <v>0.35854159781497985</v>
      </c>
      <c r="S23" cm="1">
        <f t="array" aca="1" ref="S23" ca="1">SUMPRODUCT(O22:R22*(B23:E23-B22:E22)/B22:E22)</f>
        <v>0.1131684296942535</v>
      </c>
      <c r="T23">
        <f t="shared" ca="1" si="9"/>
        <v>1113.1684296942535</v>
      </c>
    </row>
    <row r="24" spans="1:20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247200</v>
      </c>
      <c r="K24">
        <f t="shared" ca="1" si="1"/>
        <v>1911790.0000000002</v>
      </c>
      <c r="L24">
        <f t="shared" ca="1" si="2"/>
        <v>1309750</v>
      </c>
      <c r="M24">
        <f t="shared" ca="1" si="3"/>
        <v>1958565</v>
      </c>
      <c r="N24">
        <f t="shared" ca="1" si="4"/>
        <v>5427305</v>
      </c>
      <c r="O24">
        <f t="shared" ca="1" si="5"/>
        <v>4.5547467850065547E-2</v>
      </c>
      <c r="P24">
        <f t="shared" ca="1" si="6"/>
        <v>0.35225401926001954</v>
      </c>
      <c r="Q24">
        <f t="shared" ca="1" si="7"/>
        <v>0.24132603566595207</v>
      </c>
      <c r="R24">
        <f t="shared" ca="1" si="8"/>
        <v>0.36087247722396293</v>
      </c>
      <c r="S24" cm="1">
        <f t="array" aca="1" ref="S24" ca="1">SUMPRODUCT(O23:R23*(B24:E24-B23:E23)/B23:E23)</f>
        <v>-1.8248659099267085E-2</v>
      </c>
      <c r="T24">
        <f t="shared" ca="1" si="9"/>
        <v>981.75134090073288</v>
      </c>
    </row>
    <row r="25" spans="1:20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242767.99999999997</v>
      </c>
      <c r="K25">
        <f t="shared" ca="1" si="1"/>
        <v>1900097.9999999998</v>
      </c>
      <c r="L25">
        <f t="shared" ca="1" si="2"/>
        <v>1286250</v>
      </c>
      <c r="M25">
        <f t="shared" ca="1" si="3"/>
        <v>1953630</v>
      </c>
      <c r="N25">
        <f t="shared" ca="1" si="4"/>
        <v>5382746</v>
      </c>
      <c r="O25">
        <f t="shared" ca="1" si="5"/>
        <v>4.5101143542719643E-2</v>
      </c>
      <c r="P25">
        <f t="shared" ca="1" si="6"/>
        <v>0.3529978936401606</v>
      </c>
      <c r="Q25">
        <f t="shared" ca="1" si="7"/>
        <v>0.23895795937612513</v>
      </c>
      <c r="R25">
        <f t="shared" ca="1" si="8"/>
        <v>0.36294300344099462</v>
      </c>
      <c r="S25" cm="1">
        <f t="array" aca="1" ref="S25" ca="1">SUMPRODUCT(O24:R24*(B25:E25-B24:E24)/B24:E24)</f>
        <v>-8.2101521841872246E-3</v>
      </c>
      <c r="T25">
        <f t="shared" ca="1" si="9"/>
        <v>991.78984781581278</v>
      </c>
    </row>
    <row r="26" spans="1:20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247440</v>
      </c>
      <c r="K26">
        <f t="shared" ca="1" si="1"/>
        <v>1979944</v>
      </c>
      <c r="L26">
        <f t="shared" ca="1" si="2"/>
        <v>1345500</v>
      </c>
      <c r="M26">
        <f t="shared" ca="1" si="3"/>
        <v>2012010</v>
      </c>
      <c r="N26">
        <f t="shared" ca="1" si="4"/>
        <v>5584894</v>
      </c>
      <c r="O26">
        <f t="shared" ca="1" si="5"/>
        <v>4.4305227637265812E-2</v>
      </c>
      <c r="P26">
        <f t="shared" ca="1" si="6"/>
        <v>0.3545177401755521</v>
      </c>
      <c r="Q26">
        <f t="shared" ca="1" si="7"/>
        <v>0.24091773272688793</v>
      </c>
      <c r="R26">
        <f t="shared" ca="1" si="8"/>
        <v>0.36025929946029417</v>
      </c>
      <c r="S26" cm="1">
        <f t="array" aca="1" ref="S26" ca="1">SUMPRODUCT(O25:R25*(B26:E26-B25:E25)/B25:E25)</f>
        <v>3.7554809385395509E-2</v>
      </c>
      <c r="T26">
        <f t="shared" ca="1" si="9"/>
        <v>1037.5548093853954</v>
      </c>
    </row>
    <row r="27" spans="1:20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243071.99999999997</v>
      </c>
      <c r="K27">
        <f t="shared" ca="1" si="1"/>
        <v>1973802.0000000002</v>
      </c>
      <c r="L27">
        <f t="shared" ca="1" si="2"/>
        <v>1242125</v>
      </c>
      <c r="M27">
        <f t="shared" ca="1" si="3"/>
        <v>1926015</v>
      </c>
      <c r="N27">
        <f t="shared" ca="1" si="4"/>
        <v>5385014</v>
      </c>
      <c r="O27">
        <f t="shared" ca="1" si="5"/>
        <v>4.513860131097152E-2</v>
      </c>
      <c r="P27">
        <f t="shared" ca="1" si="6"/>
        <v>0.36653609442798113</v>
      </c>
      <c r="Q27">
        <f t="shared" ca="1" si="7"/>
        <v>0.23066328146964893</v>
      </c>
      <c r="R27">
        <f t="shared" ca="1" si="8"/>
        <v>0.35766202279139853</v>
      </c>
      <c r="S27" cm="1">
        <f t="array" aca="1" ref="S27" ca="1">SUMPRODUCT(O26:R26*(B27:E27-B26:E26)/B26:E26)</f>
        <v>-3.5789399046785818E-2</v>
      </c>
      <c r="T27">
        <f t="shared" ca="1" si="9"/>
        <v>964.21060095321423</v>
      </c>
    </row>
    <row r="28" spans="1:20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241392</v>
      </c>
      <c r="K28">
        <f t="shared" ca="1" si="1"/>
        <v>1950788</v>
      </c>
      <c r="L28">
        <f t="shared" ca="1" si="2"/>
        <v>1187625</v>
      </c>
      <c r="M28">
        <f t="shared" ca="1" si="3"/>
        <v>1868159.9999999998</v>
      </c>
      <c r="N28">
        <f t="shared" ca="1" si="4"/>
        <v>5247965</v>
      </c>
      <c r="O28">
        <f t="shared" ca="1" si="5"/>
        <v>4.5997257984761709E-2</v>
      </c>
      <c r="P28">
        <f t="shared" ca="1" si="6"/>
        <v>0.37172275348635136</v>
      </c>
      <c r="Q28">
        <f t="shared" ca="1" si="7"/>
        <v>0.22630200468181477</v>
      </c>
      <c r="R28">
        <f t="shared" ca="1" si="8"/>
        <v>0.35597798384707213</v>
      </c>
      <c r="S28" cm="1">
        <f t="array" aca="1" ref="S28" ca="1">SUMPRODUCT(O27:R27*(B28:E28-B27:E27)/B27:E27)</f>
        <v>-2.5450073110302084E-2</v>
      </c>
      <c r="T28">
        <f t="shared" ca="1" si="9"/>
        <v>974.54992688969787</v>
      </c>
    </row>
    <row r="29" spans="1:20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241616</v>
      </c>
      <c r="K29">
        <f t="shared" ca="1" si="1"/>
        <v>1946940.0000000002</v>
      </c>
      <c r="L29">
        <f t="shared" ca="1" si="2"/>
        <v>1182125</v>
      </c>
      <c r="M29">
        <f t="shared" ca="1" si="3"/>
        <v>1828575</v>
      </c>
      <c r="N29">
        <f t="shared" ca="1" si="4"/>
        <v>5199256</v>
      </c>
      <c r="O29">
        <f t="shared" ca="1" si="5"/>
        <v>4.6471264350130097E-2</v>
      </c>
      <c r="P29">
        <f t="shared" ca="1" si="6"/>
        <v>0.37446511577810371</v>
      </c>
      <c r="Q29">
        <f t="shared" ca="1" si="7"/>
        <v>0.22736426134816212</v>
      </c>
      <c r="R29">
        <f t="shared" ca="1" si="8"/>
        <v>0.35169935852360412</v>
      </c>
      <c r="S29" cm="1">
        <f t="array" aca="1" ref="S29" ca="1">SUMPRODUCT(O28:R28*(B29:E29-B28:E28)/B28:E28)</f>
        <v>-9.2815024490445052E-3</v>
      </c>
      <c r="T29">
        <f t="shared" ca="1" si="9"/>
        <v>990.71849755095559</v>
      </c>
    </row>
    <row r="30" spans="1:20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246160</v>
      </c>
      <c r="K30">
        <f t="shared" ca="1" si="1"/>
        <v>2007768</v>
      </c>
      <c r="L30">
        <f t="shared" ca="1" si="2"/>
        <v>1182625</v>
      </c>
      <c r="M30">
        <f t="shared" ca="1" si="3"/>
        <v>1884015</v>
      </c>
      <c r="N30">
        <f t="shared" ca="1" si="4"/>
        <v>5320568</v>
      </c>
      <c r="O30">
        <f t="shared" ca="1" si="5"/>
        <v>4.6265737041609092E-2</v>
      </c>
      <c r="P30">
        <f t="shared" ca="1" si="6"/>
        <v>0.37735971046700278</v>
      </c>
      <c r="Q30">
        <f t="shared" ca="1" si="7"/>
        <v>0.22227420079961388</v>
      </c>
      <c r="R30">
        <f t="shared" ca="1" si="8"/>
        <v>0.35410035169177428</v>
      </c>
      <c r="S30" cm="1">
        <f t="array" aca="1" ref="S30" ca="1">SUMPRODUCT(O29:R29*(B30:E30-B29:E29)/B29:E29)</f>
        <v>2.3332569121428122E-2</v>
      </c>
      <c r="T30">
        <f t="shared" ca="1" si="9"/>
        <v>1023.3325691214282</v>
      </c>
    </row>
    <row r="31" spans="1:20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245119.99999999997</v>
      </c>
      <c r="K31">
        <f t="shared" ca="1" si="1"/>
        <v>2014058.0000000002</v>
      </c>
      <c r="L31">
        <f t="shared" ca="1" si="2"/>
        <v>1183500</v>
      </c>
      <c r="M31">
        <f t="shared" ca="1" si="3"/>
        <v>1884540</v>
      </c>
      <c r="N31">
        <f t="shared" ca="1" si="4"/>
        <v>5327218</v>
      </c>
      <c r="O31">
        <f t="shared" ca="1" si="5"/>
        <v>4.6012759380224345E-2</v>
      </c>
      <c r="P31">
        <f t="shared" ca="1" si="6"/>
        <v>0.37806937880146829</v>
      </c>
      <c r="Q31">
        <f t="shared" ca="1" si="7"/>
        <v>0.22216098533981526</v>
      </c>
      <c r="R31">
        <f t="shared" ca="1" si="8"/>
        <v>0.35375687647849213</v>
      </c>
      <c r="S31" cm="1">
        <f t="array" aca="1" ref="S31" ca="1">SUMPRODUCT(O30:R30*(B31:E31-B30:E30)/B30:E30)</f>
        <v>1.2498665556008441E-3</v>
      </c>
      <c r="T31">
        <f t="shared" ca="1" si="9"/>
        <v>1001.2498665556009</v>
      </c>
    </row>
    <row r="32" spans="1:20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248528.00000000003</v>
      </c>
      <c r="K32">
        <f t="shared" ca="1" si="1"/>
        <v>1992968</v>
      </c>
      <c r="L32">
        <f t="shared" ca="1" si="2"/>
        <v>1211750</v>
      </c>
      <c r="M32">
        <f t="shared" ca="1" si="3"/>
        <v>1860180</v>
      </c>
      <c r="N32">
        <f t="shared" ca="1" si="4"/>
        <v>5313426</v>
      </c>
      <c r="O32">
        <f t="shared" ca="1" si="5"/>
        <v>4.6773588264897269E-2</v>
      </c>
      <c r="P32">
        <f t="shared" ca="1" si="6"/>
        <v>0.37508153872849648</v>
      </c>
      <c r="Q32">
        <f t="shared" ca="1" si="7"/>
        <v>0.22805436642949389</v>
      </c>
      <c r="R32">
        <f t="shared" ca="1" si="8"/>
        <v>0.35009050657711238</v>
      </c>
      <c r="S32" cm="1">
        <f t="array" aca="1" ref="S32" ca="1">SUMPRODUCT(O31:R31*(B32:E32-B31:E31)/B31:E31)</f>
        <v>-2.5889685760935961E-3</v>
      </c>
      <c r="T32">
        <f t="shared" ca="1" si="9"/>
        <v>997.41103142390637</v>
      </c>
    </row>
    <row r="33" spans="1:20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245936</v>
      </c>
      <c r="K33">
        <f t="shared" ca="1" si="1"/>
        <v>1939909.9999999998</v>
      </c>
      <c r="L33">
        <f t="shared" ca="1" si="2"/>
        <v>1193875</v>
      </c>
      <c r="M33">
        <f t="shared" ca="1" si="3"/>
        <v>1810620</v>
      </c>
      <c r="N33">
        <f t="shared" ca="1" si="4"/>
        <v>5190341</v>
      </c>
      <c r="O33">
        <f t="shared" ca="1" si="5"/>
        <v>4.7383399279546372E-2</v>
      </c>
      <c r="P33">
        <f t="shared" ca="1" si="6"/>
        <v>0.37375386318548237</v>
      </c>
      <c r="Q33">
        <f t="shared" ca="1" si="7"/>
        <v>0.23001860571395982</v>
      </c>
      <c r="R33">
        <f t="shared" ca="1" si="8"/>
        <v>0.34884413182101137</v>
      </c>
      <c r="S33" cm="1">
        <f t="array" aca="1" ref="S33" ca="1">SUMPRODUCT(O32:R32*(B33:E33-B32:E32)/B32:E32)</f>
        <v>-2.3164903397544262E-2</v>
      </c>
      <c r="T33">
        <f t="shared" ca="1" si="9"/>
        <v>976.83509660245568</v>
      </c>
    </row>
    <row r="34" spans="1:20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244080.00000000003</v>
      </c>
      <c r="K34">
        <f t="shared" ca="1" si="1"/>
        <v>1909644</v>
      </c>
      <c r="L34">
        <f t="shared" ca="1" si="2"/>
        <v>1179375</v>
      </c>
      <c r="M34">
        <f t="shared" ca="1" si="3"/>
        <v>1815240</v>
      </c>
      <c r="N34">
        <f t="shared" ca="1" si="4"/>
        <v>5148339</v>
      </c>
      <c r="O34">
        <f t="shared" ca="1" si="5"/>
        <v>4.7409465460607786E-2</v>
      </c>
      <c r="P34">
        <f t="shared" ca="1" si="6"/>
        <v>0.37092429228145235</v>
      </c>
      <c r="Q34">
        <f t="shared" ca="1" si="7"/>
        <v>0.22907873782204319</v>
      </c>
      <c r="R34">
        <f t="shared" ca="1" si="8"/>
        <v>0.3525875044358967</v>
      </c>
      <c r="S34" cm="1">
        <f t="array" aca="1" ref="S34" ca="1">SUMPRODUCT(O33:R33*(B34:E34-B33:E33)/B33:E33)</f>
        <v>-8.0923392123947082E-3</v>
      </c>
      <c r="T34">
        <f t="shared" ca="1" si="9"/>
        <v>991.90766078760532</v>
      </c>
    </row>
    <row r="35" spans="1:20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237567.99999999997</v>
      </c>
      <c r="K35">
        <f t="shared" ca="1" si="1"/>
        <v>1869758</v>
      </c>
      <c r="L35">
        <f t="shared" ca="1" si="2"/>
        <v>1147375</v>
      </c>
      <c r="M35">
        <f t="shared" ca="1" si="3"/>
        <v>1806840.0000000002</v>
      </c>
      <c r="N35">
        <f t="shared" ca="1" si="4"/>
        <v>5061541</v>
      </c>
      <c r="O35">
        <f t="shared" ca="1" si="5"/>
        <v>4.6935903512388813E-2</v>
      </c>
      <c r="P35">
        <f t="shared" ca="1" si="6"/>
        <v>0.36940489072399096</v>
      </c>
      <c r="Q35">
        <f t="shared" ca="1" si="7"/>
        <v>0.22668491670817248</v>
      </c>
      <c r="R35">
        <f t="shared" ca="1" si="8"/>
        <v>0.35697428905544776</v>
      </c>
      <c r="S35" cm="1">
        <f t="array" aca="1" ref="S35" ca="1">SUMPRODUCT(O34:R34*(B35:E35-B34:E34)/B34:E34)</f>
        <v>-1.6859418154088108E-2</v>
      </c>
      <c r="T35">
        <f t="shared" ca="1" si="9"/>
        <v>983.14058184591192</v>
      </c>
    </row>
    <row r="36" spans="1:20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238256</v>
      </c>
      <c r="K36">
        <f t="shared" ca="1" si="1"/>
        <v>1861174</v>
      </c>
      <c r="L36">
        <f t="shared" ca="1" si="2"/>
        <v>1145625</v>
      </c>
      <c r="M36">
        <f t="shared" ca="1" si="3"/>
        <v>1796760</v>
      </c>
      <c r="N36">
        <f t="shared" ca="1" si="4"/>
        <v>5041815</v>
      </c>
      <c r="O36">
        <f t="shared" ca="1" si="5"/>
        <v>4.7255998087990136E-2</v>
      </c>
      <c r="P36">
        <f t="shared" ca="1" si="6"/>
        <v>0.36914761846676247</v>
      </c>
      <c r="Q36">
        <f t="shared" ca="1" si="7"/>
        <v>0.22722471966940477</v>
      </c>
      <c r="R36">
        <f t="shared" ca="1" si="8"/>
        <v>0.35637166377584262</v>
      </c>
      <c r="S36" cm="1">
        <f t="array" aca="1" ref="S36" ca="1">SUMPRODUCT(O35:R35*(B36:E36-B35:E35)/B35:E35)</f>
        <v>-3.8972320880143133E-3</v>
      </c>
      <c r="T36">
        <f t="shared" ca="1" si="9"/>
        <v>996.10276791198567</v>
      </c>
    </row>
    <row r="37" spans="1:20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239040</v>
      </c>
      <c r="K37">
        <f t="shared" ca="1" si="1"/>
        <v>1885298</v>
      </c>
      <c r="L37">
        <f t="shared" ca="1" si="2"/>
        <v>1136125</v>
      </c>
      <c r="M37">
        <f t="shared" ca="1" si="3"/>
        <v>1806420</v>
      </c>
      <c r="N37">
        <f t="shared" ca="1" si="4"/>
        <v>5066883</v>
      </c>
      <c r="O37">
        <f t="shared" ca="1" si="5"/>
        <v>4.7176933037530171E-2</v>
      </c>
      <c r="P37">
        <f t="shared" ca="1" si="6"/>
        <v>0.37208240253426023</v>
      </c>
      <c r="Q37">
        <f t="shared" ca="1" si="7"/>
        <v>0.22422562352436398</v>
      </c>
      <c r="R37">
        <f t="shared" ca="1" si="8"/>
        <v>0.35651504090384561</v>
      </c>
      <c r="S37" cm="1">
        <f t="array" aca="1" ref="S37" ca="1">SUMPRODUCT(O36:R36*(B37:E37-B36:E36)/B36:E36)</f>
        <v>4.97201900506067E-3</v>
      </c>
      <c r="T37">
        <f t="shared" ca="1" si="9"/>
        <v>1004.9720190050606</v>
      </c>
    </row>
    <row r="38" spans="1:20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234736</v>
      </c>
      <c r="K38">
        <f t="shared" ca="1" si="1"/>
        <v>1844228</v>
      </c>
      <c r="L38">
        <f t="shared" ca="1" si="2"/>
        <v>1114125</v>
      </c>
      <c r="M38">
        <f t="shared" ca="1" si="3"/>
        <v>1789094.9999999998</v>
      </c>
      <c r="N38">
        <f t="shared" ca="1" si="4"/>
        <v>4982184</v>
      </c>
      <c r="O38">
        <f t="shared" ca="1" si="5"/>
        <v>4.7115080454676099E-2</v>
      </c>
      <c r="P38">
        <f t="shared" ca="1" si="6"/>
        <v>0.37016457039723943</v>
      </c>
      <c r="Q38">
        <f t="shared" ca="1" si="7"/>
        <v>0.22362180923065064</v>
      </c>
      <c r="R38">
        <f t="shared" ca="1" si="8"/>
        <v>0.35909853991743373</v>
      </c>
      <c r="S38" cm="1">
        <f t="array" aca="1" ref="S38" ca="1">SUMPRODUCT(O37:R37*(B38:E38-B37:E37)/B37:E37)</f>
        <v>-1.6716194157236353E-2</v>
      </c>
      <c r="T38">
        <f t="shared" ca="1" si="9"/>
        <v>983.28380584276363</v>
      </c>
    </row>
    <row r="39" spans="1:20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236671.99999999997</v>
      </c>
      <c r="K39">
        <f t="shared" ca="1" si="1"/>
        <v>1851184</v>
      </c>
      <c r="L39">
        <f t="shared" ca="1" si="2"/>
        <v>1123375</v>
      </c>
      <c r="M39">
        <f t="shared" ca="1" si="3"/>
        <v>1780170</v>
      </c>
      <c r="N39">
        <f t="shared" ca="1" si="4"/>
        <v>4991401</v>
      </c>
      <c r="O39">
        <f t="shared" ca="1" si="5"/>
        <v>4.7415945943834199E-2</v>
      </c>
      <c r="P39">
        <f t="shared" ca="1" si="6"/>
        <v>0.37087463018899902</v>
      </c>
      <c r="Q39">
        <f t="shared" ca="1" si="7"/>
        <v>0.22506206173376975</v>
      </c>
      <c r="R39">
        <f t="shared" ca="1" si="8"/>
        <v>0.35664736213339704</v>
      </c>
      <c r="S39" cm="1">
        <f t="array" aca="1" ref="S39" ca="1">SUMPRODUCT(O38:R38*(B39:E39-B38:E38)/B38:E38)</f>
        <v>1.8499918911064155E-3</v>
      </c>
      <c r="T39">
        <f t="shared" ca="1" si="9"/>
        <v>1001.8499918911064</v>
      </c>
    </row>
    <row r="40" spans="1:20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235856</v>
      </c>
      <c r="K40">
        <f t="shared" ca="1" si="1"/>
        <v>1845708</v>
      </c>
      <c r="L40">
        <f t="shared" ca="1" si="2"/>
        <v>1125750</v>
      </c>
      <c r="M40">
        <f t="shared" ca="1" si="3"/>
        <v>1836870</v>
      </c>
      <c r="N40">
        <f t="shared" ca="1" si="4"/>
        <v>5044184</v>
      </c>
      <c r="O40">
        <f t="shared" ca="1" si="5"/>
        <v>4.6758008827592332E-2</v>
      </c>
      <c r="P40">
        <f t="shared" ca="1" si="6"/>
        <v>0.36590814292262136</v>
      </c>
      <c r="Q40">
        <f t="shared" ca="1" si="7"/>
        <v>0.22317782222060098</v>
      </c>
      <c r="R40">
        <f t="shared" ca="1" si="8"/>
        <v>0.36415602602918529</v>
      </c>
      <c r="S40" cm="1">
        <f t="array" aca="1" ref="S40" ca="1">SUMPRODUCT(O39:R39*(B40:E40-B39:E39)/B39:E39)</f>
        <v>1.05747865178534E-2</v>
      </c>
      <c r="T40">
        <f t="shared" ca="1" si="9"/>
        <v>1010.5747865178533</v>
      </c>
    </row>
    <row r="41" spans="1:20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232496</v>
      </c>
      <c r="K41">
        <f t="shared" ca="1" si="1"/>
        <v>1822398</v>
      </c>
      <c r="L41">
        <f t="shared" ca="1" si="2"/>
        <v>1129500</v>
      </c>
      <c r="M41">
        <f t="shared" ca="1" si="3"/>
        <v>1820909.9999999998</v>
      </c>
      <c r="N41">
        <f t="shared" ca="1" si="4"/>
        <v>5005304</v>
      </c>
      <c r="O41">
        <f t="shared" ca="1" si="5"/>
        <v>4.6449925918585565E-2</v>
      </c>
      <c r="P41">
        <f t="shared" ca="1" si="6"/>
        <v>0.36409336975336565</v>
      </c>
      <c r="Q41">
        <f t="shared" ca="1" si="7"/>
        <v>0.22566061921513658</v>
      </c>
      <c r="R41">
        <f t="shared" ca="1" si="8"/>
        <v>0.36379608511291217</v>
      </c>
      <c r="S41" cm="1">
        <f t="array" aca="1" ref="S41" ca="1">SUMPRODUCT(O40:R40*(B41:E41-B40:E40)/B40:E40)</f>
        <v>-7.7078869446475318E-3</v>
      </c>
      <c r="T41">
        <f t="shared" ca="1" si="9"/>
        <v>992.2921130553525</v>
      </c>
    </row>
    <row r="42" spans="1:20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233456</v>
      </c>
      <c r="K42">
        <f t="shared" ca="1" si="1"/>
        <v>1858214</v>
      </c>
      <c r="L42">
        <f t="shared" ca="1" si="2"/>
        <v>1150000</v>
      </c>
      <c r="M42">
        <f t="shared" ca="1" si="3"/>
        <v>1832565</v>
      </c>
      <c r="N42">
        <f t="shared" ca="1" si="4"/>
        <v>5074235</v>
      </c>
      <c r="O42">
        <f t="shared" ca="1" si="5"/>
        <v>4.600811747977774E-2</v>
      </c>
      <c r="P42">
        <f t="shared" ca="1" si="6"/>
        <v>0.36620574332879735</v>
      </c>
      <c r="Q42">
        <f t="shared" ca="1" si="7"/>
        <v>0.22663514795826367</v>
      </c>
      <c r="R42">
        <f t="shared" ca="1" si="8"/>
        <v>0.36115099123316124</v>
      </c>
      <c r="S42" cm="1">
        <f t="array" aca="1" ref="S42" ca="1">SUMPRODUCT(O41:R41*(B42:E42-B41:E41)/B41:E41)</f>
        <v>1.3771591096165221E-2</v>
      </c>
      <c r="T42">
        <f t="shared" ca="1" si="9"/>
        <v>1013.7715910961654</v>
      </c>
    </row>
    <row r="43" spans="1:20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241648</v>
      </c>
      <c r="K43">
        <f t="shared" ca="1" si="1"/>
        <v>1889146</v>
      </c>
      <c r="L43">
        <f t="shared" ca="1" si="2"/>
        <v>1170625</v>
      </c>
      <c r="M43">
        <f t="shared" ca="1" si="3"/>
        <v>1945125</v>
      </c>
      <c r="N43">
        <f t="shared" ca="1" si="4"/>
        <v>5246544</v>
      </c>
      <c r="O43">
        <f t="shared" ca="1" si="5"/>
        <v>4.6058510135433918E-2</v>
      </c>
      <c r="P43">
        <f t="shared" ca="1" si="6"/>
        <v>0.36007436514398811</v>
      </c>
      <c r="Q43">
        <f t="shared" ca="1" si="7"/>
        <v>0.22312306920517583</v>
      </c>
      <c r="R43">
        <f t="shared" ca="1" si="8"/>
        <v>0.37074405551540213</v>
      </c>
      <c r="S43" cm="1">
        <f t="array" aca="1" ref="S43" ca="1">SUMPRODUCT(O42:R42*(B43:E43-B42:E42)/B42:E42)</f>
        <v>3.3957631051774288E-2</v>
      </c>
      <c r="T43">
        <f t="shared" ca="1" si="9"/>
        <v>1033.9576310517741</v>
      </c>
    </row>
    <row r="44" spans="1:20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246128.00000000003</v>
      </c>
      <c r="K44">
        <f t="shared" ca="1" si="1"/>
        <v>1900838</v>
      </c>
      <c r="L44">
        <f t="shared" ca="1" si="2"/>
        <v>1189125</v>
      </c>
      <c r="M44">
        <f t="shared" ca="1" si="3"/>
        <v>1941450</v>
      </c>
      <c r="N44">
        <f t="shared" ca="1" si="4"/>
        <v>5277541</v>
      </c>
      <c r="O44">
        <f t="shared" ca="1" si="5"/>
        <v>4.6636871224685898E-2</v>
      </c>
      <c r="P44">
        <f t="shared" ca="1" si="6"/>
        <v>0.36017493753246066</v>
      </c>
      <c r="Q44">
        <f t="shared" ca="1" si="7"/>
        <v>0.22531800321399681</v>
      </c>
      <c r="R44">
        <f t="shared" ca="1" si="8"/>
        <v>0.36787018802885663</v>
      </c>
      <c r="S44" cm="1">
        <f t="array" aca="1" ref="S44" ca="1">SUMPRODUCT(O43:R43*(B44:E44-B43:E43)/B43:E43)</f>
        <v>5.9080796806431132E-3</v>
      </c>
      <c r="T44">
        <f t="shared" ca="1" si="9"/>
        <v>1005.9080796806433</v>
      </c>
    </row>
    <row r="45" spans="1:20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242560</v>
      </c>
      <c r="K45">
        <f t="shared" ca="1" si="1"/>
        <v>1880710</v>
      </c>
      <c r="L45">
        <f t="shared" ca="1" si="2"/>
        <v>1173250</v>
      </c>
      <c r="M45">
        <f t="shared" ca="1" si="3"/>
        <v>1937355</v>
      </c>
      <c r="N45">
        <f t="shared" ca="1" si="4"/>
        <v>5233875</v>
      </c>
      <c r="O45">
        <f t="shared" ca="1" si="5"/>
        <v>4.6344247808745909E-2</v>
      </c>
      <c r="P45">
        <f t="shared" ca="1" si="6"/>
        <v>0.35933414535119773</v>
      </c>
      <c r="Q45">
        <f t="shared" ca="1" si="7"/>
        <v>0.22416469632920161</v>
      </c>
      <c r="R45">
        <f t="shared" ca="1" si="8"/>
        <v>0.37015691051085475</v>
      </c>
      <c r="S45" cm="1">
        <f t="array" aca="1" ref="S45" ca="1">SUMPRODUCT(O44:R44*(B45:E45-B44:E44)/B44:E44)</f>
        <v>-8.273929089324011E-3</v>
      </c>
      <c r="T45">
        <f t="shared" ca="1" si="9"/>
        <v>991.72607091067596</v>
      </c>
    </row>
    <row r="46" spans="1:20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244592</v>
      </c>
      <c r="K46">
        <f t="shared" ca="1" si="1"/>
        <v>1877380</v>
      </c>
      <c r="L46">
        <f t="shared" ca="1" si="2"/>
        <v>1178125</v>
      </c>
      <c r="M46">
        <f t="shared" ca="1" si="3"/>
        <v>1942185</v>
      </c>
      <c r="N46">
        <f t="shared" ca="1" si="4"/>
        <v>5242282</v>
      </c>
      <c r="O46">
        <f t="shared" ca="1" si="5"/>
        <v>4.6657543413345562E-2</v>
      </c>
      <c r="P46">
        <f t="shared" ca="1" si="6"/>
        <v>0.3581226649005147</v>
      </c>
      <c r="Q46">
        <f t="shared" ca="1" si="7"/>
        <v>0.22473514396974448</v>
      </c>
      <c r="R46">
        <f t="shared" ca="1" si="8"/>
        <v>0.37048464771639528</v>
      </c>
      <c r="S46" cm="1">
        <f t="array" aca="1" ref="S46" ca="1">SUMPRODUCT(O45:R45*(B46:E46-B45:E45)/B45:E45)</f>
        <v>1.6062668672828413E-3</v>
      </c>
      <c r="T46">
        <f t="shared" ca="1" si="9"/>
        <v>1001.6062668672829</v>
      </c>
    </row>
    <row r="47" spans="1:20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240944</v>
      </c>
      <c r="K47">
        <f t="shared" ca="1" si="1"/>
        <v>1867168</v>
      </c>
      <c r="L47">
        <f t="shared" ca="1" si="2"/>
        <v>1154000</v>
      </c>
      <c r="M47">
        <f t="shared" ca="1" si="3"/>
        <v>1907745</v>
      </c>
      <c r="N47">
        <f t="shared" ca="1" si="4"/>
        <v>5169857</v>
      </c>
      <c r="O47">
        <f t="shared" ca="1" si="5"/>
        <v>4.6605544408675134E-2</v>
      </c>
      <c r="P47">
        <f t="shared" ca="1" si="6"/>
        <v>0.36116434168295175</v>
      </c>
      <c r="Q47">
        <f t="shared" ca="1" si="7"/>
        <v>0.22321700580886472</v>
      </c>
      <c r="R47">
        <f t="shared" ca="1" si="8"/>
        <v>0.36901310809950838</v>
      </c>
      <c r="S47" cm="1">
        <f t="array" aca="1" ref="S47" ca="1">SUMPRODUCT(O46:R46*(B47:E47-B46:E46)/B46:E46)</f>
        <v>-1.3815548266957037E-2</v>
      </c>
      <c r="T47">
        <f t="shared" ca="1" si="9"/>
        <v>986.18445173304292</v>
      </c>
    </row>
    <row r="48" spans="1:20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237600</v>
      </c>
      <c r="K48">
        <f t="shared" ca="1" si="1"/>
        <v>1839566</v>
      </c>
      <c r="L48">
        <f t="shared" ca="1" si="2"/>
        <v>1132875</v>
      </c>
      <c r="M48">
        <f t="shared" ca="1" si="3"/>
        <v>1884855</v>
      </c>
      <c r="N48">
        <f t="shared" ca="1" si="4"/>
        <v>5094896</v>
      </c>
      <c r="O48">
        <f t="shared" ca="1" si="5"/>
        <v>4.6634906777292415E-2</v>
      </c>
      <c r="P48">
        <f t="shared" ca="1" si="6"/>
        <v>0.36106055943045745</v>
      </c>
      <c r="Q48">
        <f t="shared" ca="1" si="7"/>
        <v>0.22235488221938191</v>
      </c>
      <c r="R48">
        <f t="shared" ca="1" si="8"/>
        <v>0.36994965157286824</v>
      </c>
      <c r="S48" cm="1">
        <f t="array" aca="1" ref="S48" ca="1">SUMPRODUCT(O47:R47*(B48:E48-B47:E47)/B47:E47)</f>
        <v>-1.4499627359131979E-2</v>
      </c>
      <c r="T48">
        <f t="shared" ca="1" si="9"/>
        <v>985.50037264086802</v>
      </c>
    </row>
    <row r="49" spans="1:20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240752</v>
      </c>
      <c r="K49">
        <f t="shared" ca="1" si="1"/>
        <v>1879008</v>
      </c>
      <c r="L49">
        <f t="shared" ca="1" si="2"/>
        <v>1138875</v>
      </c>
      <c r="M49">
        <f t="shared" ca="1" si="3"/>
        <v>1899450</v>
      </c>
      <c r="N49">
        <f t="shared" ca="1" si="4"/>
        <v>5158085</v>
      </c>
      <c r="O49">
        <f t="shared" ca="1" si="5"/>
        <v>4.6674686438862488E-2</v>
      </c>
      <c r="P49">
        <f t="shared" ca="1" si="6"/>
        <v>0.36428403176760366</v>
      </c>
      <c r="Q49">
        <f t="shared" ca="1" si="7"/>
        <v>0.22079415131778557</v>
      </c>
      <c r="R49">
        <f t="shared" ca="1" si="8"/>
        <v>0.36824713047574825</v>
      </c>
      <c r="S49" cm="1">
        <f t="array" aca="1" ref="S49" ca="1">SUMPRODUCT(O48:R48*(B49:E49-B48:E48)/B48:E48)</f>
        <v>1.2402412139521609E-2</v>
      </c>
      <c r="T49">
        <f t="shared" ca="1" si="9"/>
        <v>1012.4024121395216</v>
      </c>
    </row>
    <row r="50" spans="1:20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244144</v>
      </c>
      <c r="K50">
        <f t="shared" ca="1" si="1"/>
        <v>1929846.0000000002</v>
      </c>
      <c r="L50">
        <f t="shared" ca="1" si="2"/>
        <v>1174625</v>
      </c>
      <c r="M50">
        <f t="shared" ca="1" si="3"/>
        <v>2037210</v>
      </c>
      <c r="N50">
        <f t="shared" ca="1" si="4"/>
        <v>5385825</v>
      </c>
      <c r="O50">
        <f t="shared" ca="1" si="5"/>
        <v>4.5330845320819005E-2</v>
      </c>
      <c r="P50">
        <f t="shared" ca="1" si="6"/>
        <v>0.35831947751737203</v>
      </c>
      <c r="Q50">
        <f t="shared" ca="1" si="7"/>
        <v>0.21809564922736999</v>
      </c>
      <c r="R50">
        <f t="shared" ca="1" si="8"/>
        <v>0.37825402793443902</v>
      </c>
      <c r="S50" cm="1">
        <f t="array" aca="1" ref="S50" ca="1">SUMPRODUCT(O49:R49*(B50:E50-B49:E49)/B49:E49)</f>
        <v>4.4152044799571986E-2</v>
      </c>
      <c r="T50">
        <f t="shared" ca="1" si="9"/>
        <v>1044.152044799572</v>
      </c>
    </row>
    <row r="51" spans="1:20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244784</v>
      </c>
      <c r="K51">
        <f t="shared" ca="1" si="1"/>
        <v>1964256</v>
      </c>
      <c r="L51">
        <f t="shared" ca="1" si="2"/>
        <v>1201375</v>
      </c>
      <c r="M51">
        <f t="shared" ca="1" si="3"/>
        <v>2076375</v>
      </c>
      <c r="N51">
        <f t="shared" ca="1" si="4"/>
        <v>5486790</v>
      </c>
      <c r="O51">
        <f t="shared" ca="1" si="5"/>
        <v>4.4613334937185493E-2</v>
      </c>
      <c r="P51">
        <f t="shared" ca="1" si="6"/>
        <v>0.35799729896715565</v>
      </c>
      <c r="Q51">
        <f t="shared" ca="1" si="7"/>
        <v>0.21895771480227966</v>
      </c>
      <c r="R51">
        <f t="shared" ca="1" si="8"/>
        <v>0.37843165129337919</v>
      </c>
      <c r="S51" cm="1">
        <f t="array" aca="1" ref="S51" ca="1">SUMPRODUCT(O50:R50*(B51:E51-B50:E50)/B50:E50)</f>
        <v>1.8746431605185784E-2</v>
      </c>
      <c r="T51">
        <f t="shared" ca="1" si="9"/>
        <v>1018.7464316051858</v>
      </c>
    </row>
    <row r="52" spans="1:20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249360</v>
      </c>
      <c r="K52">
        <f t="shared" ca="1" si="1"/>
        <v>2043880</v>
      </c>
      <c r="L52">
        <f t="shared" ca="1" si="2"/>
        <v>1254000</v>
      </c>
      <c r="M52">
        <f t="shared" ca="1" si="3"/>
        <v>2151765</v>
      </c>
      <c r="N52">
        <f t="shared" ca="1" si="4"/>
        <v>5699005</v>
      </c>
      <c r="O52">
        <f t="shared" ca="1" si="5"/>
        <v>4.3755006356372736E-2</v>
      </c>
      <c r="P52">
        <f t="shared" ca="1" si="6"/>
        <v>0.35863804295662138</v>
      </c>
      <c r="Q52">
        <f t="shared" ca="1" si="7"/>
        <v>0.22003841021371273</v>
      </c>
      <c r="R52">
        <f t="shared" ca="1" si="8"/>
        <v>0.37756854047329313</v>
      </c>
      <c r="S52" cm="1">
        <f t="array" aca="1" ref="S52" ca="1">SUMPRODUCT(O51:R51*(B52:E52-B51:E51)/B51:E51)</f>
        <v>3.8677441637095626E-2</v>
      </c>
      <c r="T52">
        <f t="shared" ca="1" si="9"/>
        <v>1038.6774416370956</v>
      </c>
    </row>
    <row r="53" spans="1:20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248000</v>
      </c>
      <c r="K53">
        <f t="shared" ca="1" si="1"/>
        <v>2067782</v>
      </c>
      <c r="L53">
        <f t="shared" ca="1" si="2"/>
        <v>1270250</v>
      </c>
      <c r="M53">
        <f t="shared" ca="1" si="3"/>
        <v>2053905.0000000002</v>
      </c>
      <c r="N53">
        <f t="shared" ca="1" si="4"/>
        <v>5639937</v>
      </c>
      <c r="O53">
        <f t="shared" ca="1" si="5"/>
        <v>4.3972122383636555E-2</v>
      </c>
      <c r="P53">
        <f t="shared" ca="1" si="6"/>
        <v>0.36663210954306757</v>
      </c>
      <c r="Q53">
        <f t="shared" ca="1" si="7"/>
        <v>0.22522414700731586</v>
      </c>
      <c r="R53">
        <f t="shared" ca="1" si="8"/>
        <v>0.36417162106598006</v>
      </c>
      <c r="S53" cm="1">
        <f t="array" aca="1" ref="S53" ca="1">SUMPRODUCT(O52:R52*(B53:E53-B52:E52)/B52:E52)</f>
        <v>-1.0364616279508377E-2</v>
      </c>
      <c r="T53">
        <f t="shared" ca="1" si="9"/>
        <v>989.63538372049163</v>
      </c>
    </row>
    <row r="54" spans="1:20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251840</v>
      </c>
      <c r="K54">
        <f t="shared" ca="1" si="1"/>
        <v>2014502.0000000002</v>
      </c>
      <c r="L54">
        <f t="shared" ca="1" si="2"/>
        <v>1265250</v>
      </c>
      <c r="M54">
        <f t="shared" ca="1" si="3"/>
        <v>2077005</v>
      </c>
      <c r="N54">
        <f t="shared" ca="1" si="4"/>
        <v>5608597</v>
      </c>
      <c r="O54">
        <f t="shared" ca="1" si="5"/>
        <v>4.4902495222958611E-2</v>
      </c>
      <c r="P54">
        <f t="shared" ca="1" si="6"/>
        <v>0.35918109288294386</v>
      </c>
      <c r="Q54">
        <f t="shared" ca="1" si="7"/>
        <v>0.22559117725876898</v>
      </c>
      <c r="R54">
        <f t="shared" ca="1" si="8"/>
        <v>0.37032523463532857</v>
      </c>
      <c r="S54" cm="1">
        <f t="array" aca="1" ref="S54" ca="1">SUMPRODUCT(O53:R53*(B54:E54-B53:E53)/B53:E53)</f>
        <v>-5.5567996592869873E-3</v>
      </c>
      <c r="T54">
        <f t="shared" ca="1" si="9"/>
        <v>994.44320034071302</v>
      </c>
    </row>
    <row r="55" spans="1:20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254848</v>
      </c>
      <c r="K55">
        <f t="shared" ca="1" si="1"/>
        <v>2025971.9999999998</v>
      </c>
      <c r="L55">
        <f t="shared" ca="1" si="2"/>
        <v>1311500</v>
      </c>
      <c r="M55">
        <f t="shared" ca="1" si="3"/>
        <v>2122680</v>
      </c>
      <c r="N55">
        <f t="shared" ca="1" si="4"/>
        <v>5715000</v>
      </c>
      <c r="O55">
        <f t="shared" ca="1" si="5"/>
        <v>4.4592825896762903E-2</v>
      </c>
      <c r="P55">
        <f t="shared" ca="1" si="6"/>
        <v>0.35450078740157476</v>
      </c>
      <c r="Q55">
        <f t="shared" ca="1" si="7"/>
        <v>0.22948381452318461</v>
      </c>
      <c r="R55">
        <f t="shared" ca="1" si="8"/>
        <v>0.37142257217847768</v>
      </c>
      <c r="S55" cm="1">
        <f t="array" aca="1" ref="S55" ca="1">SUMPRODUCT(O54:R54*(B55:E55-B54:E54)/B54:E54)</f>
        <v>1.8971411210325799E-2</v>
      </c>
      <c r="T55">
        <f t="shared" ca="1" si="9"/>
        <v>1018.9714112103259</v>
      </c>
    </row>
    <row r="56" spans="1:20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252528.00000000003</v>
      </c>
      <c r="K56">
        <f t="shared" ca="1" si="1"/>
        <v>2014946.0000000002</v>
      </c>
      <c r="L56">
        <f t="shared" ca="1" si="2"/>
        <v>1292125</v>
      </c>
      <c r="M56">
        <f t="shared" ca="1" si="3"/>
        <v>2098005</v>
      </c>
      <c r="N56">
        <f t="shared" ca="1" si="4"/>
        <v>5657604</v>
      </c>
      <c r="O56">
        <f t="shared" ca="1" si="5"/>
        <v>4.4635149437818558E-2</v>
      </c>
      <c r="P56">
        <f t="shared" ca="1" si="6"/>
        <v>0.35614829175035939</v>
      </c>
      <c r="Q56">
        <f t="shared" ca="1" si="7"/>
        <v>0.22838731731665915</v>
      </c>
      <c r="R56">
        <f t="shared" ca="1" si="8"/>
        <v>0.37082924149516294</v>
      </c>
      <c r="S56" cm="1">
        <f t="array" aca="1" ref="S56" ca="1">SUMPRODUCT(O55:R55*(B56:E56-B55:E55)/B55:E55)</f>
        <v>-1.004304461942249E-2</v>
      </c>
      <c r="T56">
        <f t="shared" ca="1" si="9"/>
        <v>989.95695538057748</v>
      </c>
    </row>
    <row r="57" spans="1:20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254288</v>
      </c>
      <c r="K57">
        <f t="shared" ca="1" si="1"/>
        <v>2054684.0000000002</v>
      </c>
      <c r="L57">
        <f t="shared" ca="1" si="2"/>
        <v>1320000</v>
      </c>
      <c r="M57">
        <f t="shared" ca="1" si="3"/>
        <v>2144940</v>
      </c>
      <c r="N57">
        <f t="shared" ca="1" si="4"/>
        <v>5773912</v>
      </c>
      <c r="O57">
        <f t="shared" ca="1" si="5"/>
        <v>4.4040851332683977E-2</v>
      </c>
      <c r="P57">
        <f t="shared" ca="1" si="6"/>
        <v>0.35585647997406267</v>
      </c>
      <c r="Q57">
        <f t="shared" ca="1" si="7"/>
        <v>0.22861449914719864</v>
      </c>
      <c r="R57">
        <f t="shared" ca="1" si="8"/>
        <v>0.37148816954605474</v>
      </c>
      <c r="S57" cm="1">
        <f t="array" aca="1" ref="S57" ca="1">SUMPRODUCT(O56:R56*(B57:E57-B56:E56)/B56:E56)</f>
        <v>2.0557819175749996E-2</v>
      </c>
      <c r="T57">
        <f t="shared" ca="1" si="9"/>
        <v>1020.5578191757501</v>
      </c>
    </row>
    <row r="58" spans="1:20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256400</v>
      </c>
      <c r="K58">
        <f t="shared" ca="1" si="1"/>
        <v>2076218</v>
      </c>
      <c r="L58">
        <f t="shared" ca="1" si="2"/>
        <v>1318000</v>
      </c>
      <c r="M58">
        <f t="shared" ca="1" si="3"/>
        <v>2163105</v>
      </c>
      <c r="N58">
        <f t="shared" ca="1" si="4"/>
        <v>5813723</v>
      </c>
      <c r="O58">
        <f t="shared" ca="1" si="5"/>
        <v>4.4102548401428826E-2</v>
      </c>
      <c r="P58">
        <f t="shared" ca="1" si="6"/>
        <v>0.35712365381013167</v>
      </c>
      <c r="Q58">
        <f t="shared" ca="1" si="7"/>
        <v>0.22670498749252416</v>
      </c>
      <c r="R58">
        <f t="shared" ca="1" si="8"/>
        <v>0.37206881029591538</v>
      </c>
      <c r="S58" cm="1">
        <f t="array" aca="1" ref="S58" ca="1">SUMPRODUCT(O57:R57*(B58:E58-B57:E57)/B57:E57)</f>
        <v>6.8949786557189804E-3</v>
      </c>
      <c r="T58">
        <f t="shared" ca="1" si="9"/>
        <v>1006.8949786557191</v>
      </c>
    </row>
    <row r="59" spans="1:20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253248</v>
      </c>
      <c r="K59">
        <f t="shared" ca="1" si="1"/>
        <v>2045212</v>
      </c>
      <c r="L59">
        <f t="shared" ca="1" si="2"/>
        <v>1280750</v>
      </c>
      <c r="M59">
        <f t="shared" ca="1" si="3"/>
        <v>2129820</v>
      </c>
      <c r="N59">
        <f t="shared" ca="1" si="4"/>
        <v>5709030</v>
      </c>
      <c r="O59">
        <f t="shared" ca="1" si="5"/>
        <v>4.4359199373623891E-2</v>
      </c>
      <c r="P59">
        <f t="shared" ca="1" si="6"/>
        <v>0.35824159270489031</v>
      </c>
      <c r="Q59">
        <f t="shared" ca="1" si="7"/>
        <v>0.22433758449333774</v>
      </c>
      <c r="R59">
        <f t="shared" ca="1" si="8"/>
        <v>0.37306162342814803</v>
      </c>
      <c r="S59" cm="1">
        <f t="array" aca="1" ref="S59" ca="1">SUMPRODUCT(O58:R58*(B59:E59-B58:E58)/B58:E58)</f>
        <v>-1.800790990558028E-2</v>
      </c>
      <c r="T59">
        <f t="shared" ca="1" si="9"/>
        <v>981.99209009441972</v>
      </c>
    </row>
    <row r="60" spans="1:20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252240</v>
      </c>
      <c r="K60">
        <f t="shared" ca="1" si="1"/>
        <v>2036702.0000000002</v>
      </c>
      <c r="L60">
        <f t="shared" ca="1" si="2"/>
        <v>1262875</v>
      </c>
      <c r="M60">
        <f t="shared" ca="1" si="3"/>
        <v>2107140</v>
      </c>
      <c r="N60">
        <f t="shared" ca="1" si="4"/>
        <v>5658957</v>
      </c>
      <c r="O60">
        <f t="shared" ca="1" si="5"/>
        <v>4.4573584849646325E-2</v>
      </c>
      <c r="P60">
        <f t="shared" ca="1" si="6"/>
        <v>0.35990766496370269</v>
      </c>
      <c r="Q60">
        <f t="shared" ca="1" si="7"/>
        <v>0.22316391518790477</v>
      </c>
      <c r="R60">
        <f t="shared" ca="1" si="8"/>
        <v>0.37235483499874622</v>
      </c>
      <c r="S60" cm="1">
        <f t="array" aca="1" ref="S60" ca="1">SUMPRODUCT(O59:R59*(B60:E60-B59:E59)/B59:E59)</f>
        <v>-8.7708419819128094E-3</v>
      </c>
      <c r="T60">
        <f t="shared" ca="1" si="9"/>
        <v>991.22915801808722</v>
      </c>
    </row>
    <row r="61" spans="1:20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257232.00000000003</v>
      </c>
      <c r="K61">
        <f t="shared" ca="1" si="1"/>
        <v>2075774</v>
      </c>
      <c r="L61">
        <f t="shared" ca="1" si="2"/>
        <v>1267375</v>
      </c>
      <c r="M61">
        <f t="shared" ca="1" si="3"/>
        <v>2156175</v>
      </c>
      <c r="N61">
        <f t="shared" ca="1" si="4"/>
        <v>5756556</v>
      </c>
      <c r="O61">
        <f t="shared" ca="1" si="5"/>
        <v>4.4685051270238668E-2</v>
      </c>
      <c r="P61">
        <f t="shared" ca="1" si="6"/>
        <v>0.36059303514115038</v>
      </c>
      <c r="Q61">
        <f t="shared" ca="1" si="7"/>
        <v>0.22016202048585995</v>
      </c>
      <c r="R61">
        <f t="shared" ca="1" si="8"/>
        <v>0.37455989310275101</v>
      </c>
      <c r="S61" cm="1">
        <f t="array" aca="1" ref="S61" ca="1">SUMPRODUCT(O60:R60*(B61:E61-B60:E60)/B60:E60)</f>
        <v>1.7246817743976437E-2</v>
      </c>
      <c r="T61">
        <f t="shared" ca="1" si="9"/>
        <v>1017.2468177439764</v>
      </c>
    </row>
    <row r="62" spans="1:20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259776.00000000003</v>
      </c>
      <c r="K62">
        <f t="shared" ca="1" si="1"/>
        <v>2101970</v>
      </c>
      <c r="L62">
        <f t="shared" ca="1" si="2"/>
        <v>1261125</v>
      </c>
      <c r="M62">
        <f t="shared" ca="1" si="3"/>
        <v>2182320</v>
      </c>
      <c r="N62">
        <f t="shared" ca="1" si="4"/>
        <v>5805191</v>
      </c>
      <c r="O62">
        <f t="shared" ca="1" si="5"/>
        <v>4.474891523810328E-2</v>
      </c>
      <c r="P62">
        <f t="shared" ca="1" si="6"/>
        <v>0.36208455501291859</v>
      </c>
      <c r="Q62">
        <f t="shared" ca="1" si="7"/>
        <v>0.21724091420936884</v>
      </c>
      <c r="R62">
        <f t="shared" ca="1" si="8"/>
        <v>0.37592561553960929</v>
      </c>
      <c r="S62" cm="1">
        <f t="array" aca="1" ref="S62" ca="1">SUMPRODUCT(O61:R61*(B62:E62-B61:E61)/B61:E61)</f>
        <v>8.4486279643592906E-3</v>
      </c>
      <c r="T62">
        <f t="shared" ca="1" si="9"/>
        <v>1008.4486279643592</v>
      </c>
    </row>
    <row r="63" spans="1:20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263840</v>
      </c>
      <c r="K63">
        <f t="shared" ca="1" si="1"/>
        <v>2133420</v>
      </c>
      <c r="L63">
        <f t="shared" ca="1" si="2"/>
        <v>1296625</v>
      </c>
      <c r="M63">
        <f t="shared" ca="1" si="3"/>
        <v>2225370</v>
      </c>
      <c r="N63">
        <f t="shared" ca="1" si="4"/>
        <v>5919255</v>
      </c>
      <c r="O63">
        <f t="shared" ca="1" si="5"/>
        <v>4.4573176860939423E-2</v>
      </c>
      <c r="P63">
        <f t="shared" ca="1" si="6"/>
        <v>0.3604203569537045</v>
      </c>
      <c r="Q63">
        <f t="shared" ca="1" si="7"/>
        <v>0.21905205976089898</v>
      </c>
      <c r="R63">
        <f t="shared" ca="1" si="8"/>
        <v>0.37595440642445715</v>
      </c>
      <c r="S63" cm="1">
        <f t="array" aca="1" ref="S63" ca="1">SUMPRODUCT(O62:R62*(B63:E63-B62:E62)/B62:E62)</f>
        <v>1.9648621380416245E-2</v>
      </c>
      <c r="T63">
        <f t="shared" ca="1" si="9"/>
        <v>1019.6486213804163</v>
      </c>
    </row>
    <row r="64" spans="1:20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265872</v>
      </c>
      <c r="K64">
        <f t="shared" ca="1" si="1"/>
        <v>2125502</v>
      </c>
      <c r="L64">
        <f t="shared" ca="1" si="2"/>
        <v>1304500</v>
      </c>
      <c r="M64">
        <f t="shared" ca="1" si="3"/>
        <v>2237235</v>
      </c>
      <c r="N64">
        <f t="shared" ca="1" si="4"/>
        <v>5933109</v>
      </c>
      <c r="O64">
        <f t="shared" ca="1" si="5"/>
        <v>4.4811581921046791E-2</v>
      </c>
      <c r="P64">
        <f t="shared" ca="1" si="6"/>
        <v>0.35824421900895465</v>
      </c>
      <c r="Q64">
        <f t="shared" ca="1" si="7"/>
        <v>0.21986786354338003</v>
      </c>
      <c r="R64">
        <f t="shared" ca="1" si="8"/>
        <v>0.37707633552661851</v>
      </c>
      <c r="S64" cm="1">
        <f t="array" aca="1" ref="S64" ca="1">SUMPRODUCT(O63:R63*(B64:E64-B63:E63)/B63:E63)</f>
        <v>2.340497241629211E-3</v>
      </c>
      <c r="T64">
        <f t="shared" ca="1" si="9"/>
        <v>1002.3404972416292</v>
      </c>
    </row>
    <row r="65" spans="1:20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265008</v>
      </c>
      <c r="K65">
        <f t="shared" ca="1" si="1"/>
        <v>2125132</v>
      </c>
      <c r="L65">
        <f t="shared" ca="1" si="2"/>
        <v>1309000</v>
      </c>
      <c r="M65">
        <f t="shared" ca="1" si="3"/>
        <v>2254560</v>
      </c>
      <c r="N65">
        <f t="shared" ca="1" si="4"/>
        <v>5953700</v>
      </c>
      <c r="O65">
        <f t="shared" ca="1" si="5"/>
        <v>4.4511480255975275E-2</v>
      </c>
      <c r="P65">
        <f t="shared" ca="1" si="6"/>
        <v>0.35694307741404507</v>
      </c>
      <c r="Q65">
        <f t="shared" ca="1" si="7"/>
        <v>0.21986327829752927</v>
      </c>
      <c r="R65">
        <f t="shared" ca="1" si="8"/>
        <v>0.37868216403245042</v>
      </c>
      <c r="S65" cm="1">
        <f t="array" aca="1" ref="S65" ca="1">SUMPRODUCT(O64:R64*(B65:E65-B64:E64)/B64:E64)</f>
        <v>3.4705244754478608E-3</v>
      </c>
      <c r="T65">
        <f t="shared" ca="1" si="9"/>
        <v>1003.4705244754479</v>
      </c>
    </row>
    <row r="66" spans="1:20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262016</v>
      </c>
      <c r="K66">
        <f t="shared" ca="1" si="1"/>
        <v>2104116</v>
      </c>
      <c r="L66">
        <f t="shared" ca="1" si="2"/>
        <v>1305875</v>
      </c>
      <c r="M66">
        <f t="shared" ca="1" si="3"/>
        <v>2220540</v>
      </c>
      <c r="N66">
        <f t="shared" ca="1" si="4"/>
        <v>5892547</v>
      </c>
      <c r="O66">
        <f t="shared" ca="1" si="5"/>
        <v>4.4465661453357945E-2</v>
      </c>
      <c r="P66">
        <f t="shared" ca="1" si="6"/>
        <v>0.35708090236700701</v>
      </c>
      <c r="Q66">
        <f t="shared" ca="1" si="7"/>
        <v>0.22161469395152894</v>
      </c>
      <c r="R66">
        <f t="shared" ca="1" si="8"/>
        <v>0.37683874222810609</v>
      </c>
      <c r="S66" cm="1">
        <f t="array" aca="1" ref="S66" ca="1">SUMPRODUCT(O65:R65*(B66:E66-B65:E65)/B65:E65)</f>
        <v>-1.0271427851588145E-2</v>
      </c>
      <c r="T66">
        <f t="shared" ca="1" si="9"/>
        <v>989.72857214841179</v>
      </c>
    </row>
    <row r="67" spans="1:20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0">F67*B67</f>
        <v>263456</v>
      </c>
      <c r="K67">
        <f t="shared" ref="K67:K130" ca="1" si="11">G67*C67</f>
        <v>2157840</v>
      </c>
      <c r="L67">
        <f t="shared" ref="L67:L130" ca="1" si="12">H67*D67</f>
        <v>1355250</v>
      </c>
      <c r="M67">
        <f t="shared" ref="M67:M130" ca="1" si="13">I67*E67</f>
        <v>2269050</v>
      </c>
      <c r="N67">
        <f t="shared" ref="N67:N130" ca="1" si="14">SUM(J67:M67)</f>
        <v>6045596</v>
      </c>
      <c r="O67">
        <f t="shared" ref="O67:O130" ca="1" si="15">J67/N67</f>
        <v>4.3578168306317527E-2</v>
      </c>
      <c r="P67">
        <f t="shared" ref="P67:P130" ca="1" si="16">K67/N67</f>
        <v>0.35692758828079152</v>
      </c>
      <c r="Q67">
        <f t="shared" ref="Q67:Q130" ca="1" si="17">L67/N67</f>
        <v>0.22417144645457618</v>
      </c>
      <c r="R67">
        <f t="shared" ref="R67:R130" ca="1" si="18">M67/N67</f>
        <v>0.37532279695831477</v>
      </c>
      <c r="S67" cm="1">
        <f t="array" aca="1" ref="S67" ca="1">SUMPRODUCT(O66:R66*(B67:E67-B66:E66)/B66:E66)</f>
        <v>2.5973318498774885E-2</v>
      </c>
      <c r="T67">
        <f t="shared" ca="1" si="9"/>
        <v>1025.9733184987749</v>
      </c>
    </row>
    <row r="68" spans="1:20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0"/>
        <v>259248</v>
      </c>
      <c r="K68">
        <f t="shared" ca="1" si="11"/>
        <v>2141486</v>
      </c>
      <c r="L68">
        <f t="shared" ca="1" si="12"/>
        <v>1330500</v>
      </c>
      <c r="M68">
        <f t="shared" ca="1" si="13"/>
        <v>2254875</v>
      </c>
      <c r="N68">
        <f t="shared" ca="1" si="14"/>
        <v>5986109</v>
      </c>
      <c r="O68">
        <f t="shared" ca="1" si="15"/>
        <v>4.3308265853495148E-2</v>
      </c>
      <c r="P68">
        <f t="shared" ca="1" si="16"/>
        <v>0.35774256699969881</v>
      </c>
      <c r="Q68">
        <f t="shared" ca="1" si="17"/>
        <v>0.22226457954574499</v>
      </c>
      <c r="R68">
        <f t="shared" ca="1" si="18"/>
        <v>0.37668458760106105</v>
      </c>
      <c r="S68" cm="1">
        <f t="array" aca="1" ref="S68" ca="1">SUMPRODUCT(O67:R67*(B68:E68-B67:E67)/B67:E67)</f>
        <v>-9.8397246524577972E-3</v>
      </c>
      <c r="T68">
        <f t="shared" ref="T68:T131" ca="1" si="19">1000*(S68+1)</f>
        <v>990.16027534754221</v>
      </c>
    </row>
    <row r="69" spans="1:20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0"/>
        <v>257280.00000000003</v>
      </c>
      <c r="K69">
        <f t="shared" ca="1" si="11"/>
        <v>2092941.9999999998</v>
      </c>
      <c r="L69">
        <f t="shared" ca="1" si="12"/>
        <v>1316875</v>
      </c>
      <c r="M69">
        <f t="shared" ca="1" si="13"/>
        <v>2245425</v>
      </c>
      <c r="N69">
        <f t="shared" ca="1" si="14"/>
        <v>5912522</v>
      </c>
      <c r="O69">
        <f t="shared" ca="1" si="15"/>
        <v>4.3514425823700957E-2</v>
      </c>
      <c r="P69">
        <f t="shared" ca="1" si="16"/>
        <v>0.35398464479286501</v>
      </c>
      <c r="Q69">
        <f t="shared" ca="1" si="17"/>
        <v>0.22272644397771374</v>
      </c>
      <c r="R69">
        <f t="shared" ca="1" si="18"/>
        <v>0.37977448540572029</v>
      </c>
      <c r="S69" cm="1">
        <f t="array" aca="1" ref="S69" ca="1">SUMPRODUCT(O68:R68*(B69:E69-B68:E68)/B68:E68)</f>
        <v>-1.2292960251809665E-2</v>
      </c>
      <c r="T69">
        <f t="shared" ca="1" si="19"/>
        <v>987.70703974819025</v>
      </c>
    </row>
    <row r="70" spans="1:20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0"/>
        <v>256160</v>
      </c>
      <c r="K70">
        <f t="shared" ca="1" si="11"/>
        <v>2097826</v>
      </c>
      <c r="L70">
        <f t="shared" ca="1" si="12"/>
        <v>1308000</v>
      </c>
      <c r="M70">
        <f t="shared" ca="1" si="13"/>
        <v>2247000</v>
      </c>
      <c r="N70">
        <f t="shared" ca="1" si="14"/>
        <v>5908986</v>
      </c>
      <c r="O70">
        <f t="shared" ca="1" si="15"/>
        <v>4.3350923491780144E-2</v>
      </c>
      <c r="P70">
        <f t="shared" ca="1" si="16"/>
        <v>0.355023010716221</v>
      </c>
      <c r="Q70">
        <f t="shared" ca="1" si="17"/>
        <v>0.22135777610574808</v>
      </c>
      <c r="R70">
        <f t="shared" ca="1" si="18"/>
        <v>0.38026828968625076</v>
      </c>
      <c r="S70" cm="1">
        <f t="array" aca="1" ref="S70" ca="1">SUMPRODUCT(O69:R69*(B70:E70-B69:E69)/B69:E69)</f>
        <v>-5.9805274297494433E-4</v>
      </c>
      <c r="T70">
        <f t="shared" ca="1" si="19"/>
        <v>999.40194725702497</v>
      </c>
    </row>
    <row r="71" spans="1:20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0"/>
        <v>264896</v>
      </c>
      <c r="K71">
        <f t="shared" ca="1" si="11"/>
        <v>2144816</v>
      </c>
      <c r="L71">
        <f t="shared" ca="1" si="12"/>
        <v>1342875</v>
      </c>
      <c r="M71">
        <f t="shared" ca="1" si="13"/>
        <v>2313675</v>
      </c>
      <c r="N71">
        <f t="shared" ca="1" si="14"/>
        <v>6066262</v>
      </c>
      <c r="O71">
        <f t="shared" ca="1" si="15"/>
        <v>4.3667088562940409E-2</v>
      </c>
      <c r="P71">
        <f t="shared" ca="1" si="16"/>
        <v>0.35356468283104159</v>
      </c>
      <c r="Q71">
        <f t="shared" ca="1" si="17"/>
        <v>0.22136778793926146</v>
      </c>
      <c r="R71">
        <f t="shared" ca="1" si="18"/>
        <v>0.38140044066675655</v>
      </c>
      <c r="S71" cm="1">
        <f t="array" aca="1" ref="S71" ca="1">SUMPRODUCT(O70:R70*(B71:E71-B70:E70)/B70:E70)</f>
        <v>2.6616411005204579E-2</v>
      </c>
      <c r="T71">
        <f t="shared" ca="1" si="19"/>
        <v>1026.6164110052046</v>
      </c>
    </row>
    <row r="72" spans="1:20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0"/>
        <v>264336</v>
      </c>
      <c r="K72">
        <f t="shared" ca="1" si="11"/>
        <v>2117436</v>
      </c>
      <c r="L72">
        <f t="shared" ca="1" si="12"/>
        <v>1360875</v>
      </c>
      <c r="M72">
        <f t="shared" ca="1" si="13"/>
        <v>2325645</v>
      </c>
      <c r="N72">
        <f t="shared" ca="1" si="14"/>
        <v>6068292</v>
      </c>
      <c r="O72">
        <f t="shared" ca="1" si="15"/>
        <v>4.3560197828318083E-2</v>
      </c>
      <c r="P72">
        <f t="shared" ca="1" si="16"/>
        <v>0.34893442833667199</v>
      </c>
      <c r="Q72">
        <f t="shared" ca="1" si="17"/>
        <v>0.22425997298745676</v>
      </c>
      <c r="R72">
        <f t="shared" ca="1" si="18"/>
        <v>0.38324540084755315</v>
      </c>
      <c r="S72" cm="1">
        <f t="array" aca="1" ref="S72" ca="1">SUMPRODUCT(O71:R71*(B72:E72-B71:E71)/B71:E71)</f>
        <v>3.3463770605361492E-4</v>
      </c>
      <c r="T72">
        <f t="shared" ca="1" si="19"/>
        <v>1000.3346377060536</v>
      </c>
    </row>
    <row r="73" spans="1:20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0"/>
        <v>264368</v>
      </c>
      <c r="K73">
        <f t="shared" ca="1" si="11"/>
        <v>2137120</v>
      </c>
      <c r="L73">
        <f t="shared" ca="1" si="12"/>
        <v>1324625</v>
      </c>
      <c r="M73">
        <f t="shared" ca="1" si="13"/>
        <v>2298030</v>
      </c>
      <c r="N73">
        <f t="shared" ca="1" si="14"/>
        <v>6024143</v>
      </c>
      <c r="O73">
        <f t="shared" ca="1" si="15"/>
        <v>4.3884748419816724E-2</v>
      </c>
      <c r="P73">
        <f t="shared" ca="1" si="16"/>
        <v>0.35475917487350483</v>
      </c>
      <c r="Q73">
        <f t="shared" ca="1" si="17"/>
        <v>0.21988604852175653</v>
      </c>
      <c r="R73">
        <f t="shared" ca="1" si="18"/>
        <v>0.38147002818492193</v>
      </c>
      <c r="S73" cm="1">
        <f t="array" aca="1" ref="S73" ca="1">SUMPRODUCT(O72:R72*(B73:E73-B72:E72)/B72:E72)</f>
        <v>-7.275358535812031E-3</v>
      </c>
      <c r="T73">
        <f t="shared" ca="1" si="19"/>
        <v>992.72464146418793</v>
      </c>
    </row>
    <row r="74" spans="1:20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0"/>
        <v>266352</v>
      </c>
      <c r="K74">
        <f t="shared" ca="1" si="11"/>
        <v>2133938</v>
      </c>
      <c r="L74">
        <f t="shared" ca="1" si="12"/>
        <v>1306250</v>
      </c>
      <c r="M74">
        <f t="shared" ca="1" si="13"/>
        <v>2287845</v>
      </c>
      <c r="N74">
        <f t="shared" ca="1" si="14"/>
        <v>5994385</v>
      </c>
      <c r="O74">
        <f t="shared" ca="1" si="15"/>
        <v>4.4433582427555122E-2</v>
      </c>
      <c r="P74">
        <f t="shared" ca="1" si="16"/>
        <v>0.35598948015517856</v>
      </c>
      <c r="Q74">
        <f t="shared" ca="1" si="17"/>
        <v>0.21791226289269042</v>
      </c>
      <c r="R74">
        <f t="shared" ca="1" si="18"/>
        <v>0.38166467452457592</v>
      </c>
      <c r="S74" cm="1">
        <f t="array" aca="1" ref="S74" ca="1">SUMPRODUCT(O73:R73*(B74:E74-B73:E73)/B73:E73)</f>
        <v>-4.939789775906765E-3</v>
      </c>
      <c r="T74">
        <f t="shared" ca="1" si="19"/>
        <v>995.06021022409323</v>
      </c>
    </row>
    <row r="75" spans="1:20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0"/>
        <v>268208</v>
      </c>
      <c r="K75">
        <f t="shared" ca="1" si="11"/>
        <v>2134530</v>
      </c>
      <c r="L75">
        <f t="shared" ca="1" si="12"/>
        <v>1302250</v>
      </c>
      <c r="M75">
        <f t="shared" ca="1" si="13"/>
        <v>2264850</v>
      </c>
      <c r="N75">
        <f t="shared" ca="1" si="14"/>
        <v>5969838</v>
      </c>
      <c r="O75">
        <f t="shared" ca="1" si="15"/>
        <v>4.4927182278648101E-2</v>
      </c>
      <c r="P75">
        <f t="shared" ca="1" si="16"/>
        <v>0.35755241599520793</v>
      </c>
      <c r="Q75">
        <f t="shared" ca="1" si="17"/>
        <v>0.21813824763754058</v>
      </c>
      <c r="R75">
        <f t="shared" ca="1" si="18"/>
        <v>0.37938215408860343</v>
      </c>
      <c r="S75" cm="1">
        <f t="array" aca="1" ref="S75" ca="1">SUMPRODUCT(O74:R74*(B75:E75-B74:E74)/B74:E74)</f>
        <v>-4.094998903140191E-3</v>
      </c>
      <c r="T75">
        <f t="shared" ca="1" si="19"/>
        <v>995.90500109685979</v>
      </c>
    </row>
    <row r="76" spans="1:20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0"/>
        <v>266640</v>
      </c>
      <c r="K76">
        <f t="shared" ca="1" si="11"/>
        <v>2117214</v>
      </c>
      <c r="L76">
        <f t="shared" ca="1" si="12"/>
        <v>1316125</v>
      </c>
      <c r="M76">
        <f t="shared" ca="1" si="13"/>
        <v>2237235</v>
      </c>
      <c r="N76">
        <f t="shared" ca="1" si="14"/>
        <v>5937214</v>
      </c>
      <c r="O76">
        <f t="shared" ca="1" si="15"/>
        <v>4.4909952715196051E-2</v>
      </c>
      <c r="P76">
        <f t="shared" ca="1" si="16"/>
        <v>0.35660058741355793</v>
      </c>
      <c r="Q76">
        <f t="shared" ca="1" si="17"/>
        <v>0.2216738355733851</v>
      </c>
      <c r="R76">
        <f t="shared" ca="1" si="18"/>
        <v>0.37681562429786092</v>
      </c>
      <c r="S76" cm="1">
        <f t="array" aca="1" ref="S76" ca="1">SUMPRODUCT(O75:R75*(B76:E76-B75:E75)/B75:E75)</f>
        <v>-5.4648049076038187E-3</v>
      </c>
      <c r="T76">
        <f t="shared" ca="1" si="19"/>
        <v>994.53519509239618</v>
      </c>
    </row>
    <row r="77" spans="1:20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0"/>
        <v>264032</v>
      </c>
      <c r="K77">
        <f t="shared" ca="1" si="11"/>
        <v>2114624</v>
      </c>
      <c r="L77">
        <f t="shared" ca="1" si="12"/>
        <v>1317625</v>
      </c>
      <c r="M77">
        <f t="shared" ca="1" si="13"/>
        <v>2235345</v>
      </c>
      <c r="N77">
        <f t="shared" ca="1" si="14"/>
        <v>5931626</v>
      </c>
      <c r="O77">
        <f t="shared" ca="1" si="15"/>
        <v>4.4512583901952014E-2</v>
      </c>
      <c r="P77">
        <f t="shared" ca="1" si="16"/>
        <v>0.35649988721473674</v>
      </c>
      <c r="Q77">
        <f t="shared" ca="1" si="17"/>
        <v>0.22213554934178251</v>
      </c>
      <c r="R77">
        <f t="shared" ca="1" si="18"/>
        <v>0.37685197954152877</v>
      </c>
      <c r="S77" cm="1">
        <f t="array" aca="1" ref="S77" ca="1">SUMPRODUCT(O76:R76*(B77:E77-B76:E76)/B76:E76)</f>
        <v>-9.4118217736472907E-4</v>
      </c>
      <c r="T77">
        <f t="shared" ca="1" si="19"/>
        <v>999.05881782263532</v>
      </c>
    </row>
    <row r="78" spans="1:20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0"/>
        <v>264528</v>
      </c>
      <c r="K78">
        <f t="shared" ca="1" si="11"/>
        <v>2085097.9999999998</v>
      </c>
      <c r="L78">
        <f t="shared" ca="1" si="12"/>
        <v>1324625</v>
      </c>
      <c r="M78">
        <f t="shared" ca="1" si="13"/>
        <v>2234295</v>
      </c>
      <c r="N78">
        <f t="shared" ca="1" si="14"/>
        <v>5908546</v>
      </c>
      <c r="O78">
        <f t="shared" ca="1" si="15"/>
        <v>4.4770405443234261E-2</v>
      </c>
      <c r="P78">
        <f t="shared" ca="1" si="16"/>
        <v>0.35289528083558963</v>
      </c>
      <c r="Q78">
        <f t="shared" ca="1" si="17"/>
        <v>0.22418798127322695</v>
      </c>
      <c r="R78">
        <f t="shared" ca="1" si="18"/>
        <v>0.3781463324479491</v>
      </c>
      <c r="S78" cm="1">
        <f t="array" aca="1" ref="S78" ca="1">SUMPRODUCT(O77:R77*(B78:E78-B77:E77)/B77:E77)</f>
        <v>-3.8910072887265606E-3</v>
      </c>
      <c r="T78">
        <f t="shared" ca="1" si="19"/>
        <v>996.10899271127334</v>
      </c>
    </row>
    <row r="79" spans="1:20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0"/>
        <v>262032.00000000003</v>
      </c>
      <c r="K79">
        <f t="shared" ca="1" si="11"/>
        <v>2038108.0000000002</v>
      </c>
      <c r="L79">
        <f t="shared" ca="1" si="12"/>
        <v>1298125</v>
      </c>
      <c r="M79">
        <f t="shared" ca="1" si="13"/>
        <v>2179275</v>
      </c>
      <c r="N79">
        <f t="shared" ca="1" si="14"/>
        <v>5777540</v>
      </c>
      <c r="O79">
        <f t="shared" ca="1" si="15"/>
        <v>4.5353558781072917E-2</v>
      </c>
      <c r="P79">
        <f t="shared" ca="1" si="16"/>
        <v>0.35276397913298746</v>
      </c>
      <c r="Q79">
        <f t="shared" ca="1" si="17"/>
        <v>0.22468472740993573</v>
      </c>
      <c r="R79">
        <f t="shared" ca="1" si="18"/>
        <v>0.37719773467600398</v>
      </c>
      <c r="S79" cm="1">
        <f t="array" aca="1" ref="S79" ca="1">SUMPRODUCT(O78:R78*(B79:E79-B78:E78)/B78:E78)</f>
        <v>-2.2172290780168184E-2</v>
      </c>
      <c r="T79">
        <f t="shared" ca="1" si="19"/>
        <v>977.82770921983183</v>
      </c>
    </row>
    <row r="80" spans="1:20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0"/>
        <v>262016</v>
      </c>
      <c r="K80">
        <f t="shared" ca="1" si="11"/>
        <v>2185738</v>
      </c>
      <c r="L80">
        <f t="shared" ca="1" si="12"/>
        <v>1296375</v>
      </c>
      <c r="M80">
        <f t="shared" ca="1" si="13"/>
        <v>2198700</v>
      </c>
      <c r="N80">
        <f t="shared" ca="1" si="14"/>
        <v>5942829</v>
      </c>
      <c r="O80">
        <f t="shared" ca="1" si="15"/>
        <v>4.4089439558163294E-2</v>
      </c>
      <c r="P80">
        <f t="shared" ca="1" si="16"/>
        <v>0.36779419364077276</v>
      </c>
      <c r="Q80">
        <f t="shared" ca="1" si="17"/>
        <v>0.21814105706221734</v>
      </c>
      <c r="R80">
        <f t="shared" ca="1" si="18"/>
        <v>0.36997530973884662</v>
      </c>
      <c r="S80" cm="1">
        <f t="array" aca="1" ref="S80" ca="1">SUMPRODUCT(O79:R79*(B80:E80-B79:E79)/B79:E79)</f>
        <v>2.8608888904274109E-2</v>
      </c>
      <c r="T80">
        <f t="shared" ca="1" si="19"/>
        <v>1028.6088889042742</v>
      </c>
    </row>
    <row r="81" spans="1:20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0"/>
        <v>269456</v>
      </c>
      <c r="K81">
        <f t="shared" ca="1" si="11"/>
        <v>2255742</v>
      </c>
      <c r="L81">
        <f t="shared" ca="1" si="12"/>
        <v>1344875</v>
      </c>
      <c r="M81">
        <f t="shared" ca="1" si="13"/>
        <v>2504880</v>
      </c>
      <c r="N81">
        <f t="shared" ca="1" si="14"/>
        <v>6374953</v>
      </c>
      <c r="O81">
        <f t="shared" ca="1" si="15"/>
        <v>4.2267919465445468E-2</v>
      </c>
      <c r="P81">
        <f t="shared" ca="1" si="16"/>
        <v>0.35384449108879706</v>
      </c>
      <c r="Q81">
        <f t="shared" ca="1" si="17"/>
        <v>0.21096233964391581</v>
      </c>
      <c r="R81">
        <f t="shared" ca="1" si="18"/>
        <v>0.39292524980184168</v>
      </c>
      <c r="S81" cm="1">
        <f t="array" aca="1" ref="S81" ca="1">SUMPRODUCT(O80:R80*(B81:E81-B80:E80)/B80:E80)</f>
        <v>7.2713517417378151E-2</v>
      </c>
      <c r="T81">
        <f t="shared" ca="1" si="19"/>
        <v>1072.7135174173782</v>
      </c>
    </row>
    <row r="82" spans="1:20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0"/>
        <v>271488</v>
      </c>
      <c r="K82">
        <f t="shared" ca="1" si="11"/>
        <v>2273724</v>
      </c>
      <c r="L82">
        <f t="shared" ca="1" si="12"/>
        <v>1341750</v>
      </c>
      <c r="M82">
        <f t="shared" ca="1" si="13"/>
        <v>2523360</v>
      </c>
      <c r="N82">
        <f t="shared" ca="1" si="14"/>
        <v>6410322</v>
      </c>
      <c r="O82">
        <f t="shared" ca="1" si="15"/>
        <v>4.2351694657460262E-2</v>
      </c>
      <c r="P82">
        <f t="shared" ca="1" si="16"/>
        <v>0.35469731473707561</v>
      </c>
      <c r="Q82">
        <f t="shared" ca="1" si="17"/>
        <v>0.20931085833129756</v>
      </c>
      <c r="R82">
        <f t="shared" ca="1" si="18"/>
        <v>0.39364013227416655</v>
      </c>
      <c r="S82" cm="1">
        <f t="array" aca="1" ref="S82" ca="1">SUMPRODUCT(O81:R81*(B82:E82-B81:E81)/B81:E81)</f>
        <v>5.5481193351543103E-3</v>
      </c>
      <c r="T82">
        <f t="shared" ca="1" si="19"/>
        <v>1005.5481193351543</v>
      </c>
    </row>
    <row r="83" spans="1:20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0"/>
        <v>271344</v>
      </c>
      <c r="K83">
        <f t="shared" ca="1" si="11"/>
        <v>2261144</v>
      </c>
      <c r="L83">
        <f t="shared" ca="1" si="12"/>
        <v>1340000</v>
      </c>
      <c r="M83">
        <f t="shared" ca="1" si="13"/>
        <v>2553390</v>
      </c>
      <c r="N83">
        <f t="shared" ca="1" si="14"/>
        <v>6425878</v>
      </c>
      <c r="O83">
        <f t="shared" ca="1" si="15"/>
        <v>4.2226758740206399E-2</v>
      </c>
      <c r="P83">
        <f t="shared" ca="1" si="16"/>
        <v>0.35188094140598375</v>
      </c>
      <c r="Q83">
        <f t="shared" ca="1" si="17"/>
        <v>0.20853181464073858</v>
      </c>
      <c r="R83">
        <f t="shared" ca="1" si="18"/>
        <v>0.39736048521307127</v>
      </c>
      <c r="S83" cm="1">
        <f t="array" aca="1" ref="S83" ca="1">SUMPRODUCT(O82:R82*(B83:E83-B82:E82)/B82:E82)</f>
        <v>2.4267111698913434E-3</v>
      </c>
      <c r="T83">
        <f t="shared" ca="1" si="19"/>
        <v>1002.4267111698913</v>
      </c>
    </row>
    <row r="84" spans="1:20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0"/>
        <v>269664</v>
      </c>
      <c r="K84">
        <f t="shared" ca="1" si="11"/>
        <v>2260034</v>
      </c>
      <c r="L84">
        <f t="shared" ca="1" si="12"/>
        <v>1316500</v>
      </c>
      <c r="M84">
        <f t="shared" ca="1" si="13"/>
        <v>2512020</v>
      </c>
      <c r="N84">
        <f t="shared" ca="1" si="14"/>
        <v>6358218</v>
      </c>
      <c r="O84">
        <f t="shared" ca="1" si="15"/>
        <v>4.2411883329574421E-2</v>
      </c>
      <c r="P84">
        <f t="shared" ca="1" si="16"/>
        <v>0.3554508511661601</v>
      </c>
      <c r="Q84">
        <f t="shared" ca="1" si="17"/>
        <v>0.20705486977640591</v>
      </c>
      <c r="R84">
        <f t="shared" ca="1" si="18"/>
        <v>0.39508239572785958</v>
      </c>
      <c r="S84" cm="1">
        <f t="array" aca="1" ref="S84" ca="1">SUMPRODUCT(O83:R83*(B84:E84-B83:E83)/B83:E83)</f>
        <v>-1.0529300431785345E-2</v>
      </c>
      <c r="T84">
        <f t="shared" ca="1" si="19"/>
        <v>989.47069956821463</v>
      </c>
    </row>
    <row r="85" spans="1:20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0"/>
        <v>267920</v>
      </c>
      <c r="K85">
        <f t="shared" ca="1" si="11"/>
        <v>2252560</v>
      </c>
      <c r="L85">
        <f t="shared" ca="1" si="12"/>
        <v>1317625</v>
      </c>
      <c r="M85">
        <f t="shared" ca="1" si="13"/>
        <v>2488815</v>
      </c>
      <c r="N85">
        <f t="shared" ca="1" si="14"/>
        <v>6326920</v>
      </c>
      <c r="O85">
        <f t="shared" ca="1" si="15"/>
        <v>4.2346038830900344E-2</v>
      </c>
      <c r="P85">
        <f t="shared" ca="1" si="16"/>
        <v>0.35602789350900599</v>
      </c>
      <c r="Q85">
        <f t="shared" ca="1" si="17"/>
        <v>0.20825694018574598</v>
      </c>
      <c r="R85">
        <f t="shared" ca="1" si="18"/>
        <v>0.39336912747434771</v>
      </c>
      <c r="S85" cm="1">
        <f t="array" aca="1" ref="S85" ca="1">SUMPRODUCT(O84:R84*(B85:E85-B84:E84)/B84:E84)</f>
        <v>-4.9224483967049253E-3</v>
      </c>
      <c r="T85">
        <f t="shared" ca="1" si="19"/>
        <v>995.07755160329498</v>
      </c>
    </row>
    <row r="86" spans="1:20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0"/>
        <v>265264</v>
      </c>
      <c r="K86">
        <f t="shared" ca="1" si="11"/>
        <v>2260034</v>
      </c>
      <c r="L86">
        <f t="shared" ca="1" si="12"/>
        <v>1308625</v>
      </c>
      <c r="M86">
        <f t="shared" ca="1" si="13"/>
        <v>2451960</v>
      </c>
      <c r="N86">
        <f t="shared" ca="1" si="14"/>
        <v>6285883</v>
      </c>
      <c r="O86">
        <f t="shared" ca="1" si="15"/>
        <v>4.2199958223848581E-2</v>
      </c>
      <c r="P86">
        <f t="shared" ca="1" si="16"/>
        <v>0.35954121322334509</v>
      </c>
      <c r="Q86">
        <f t="shared" ca="1" si="17"/>
        <v>0.20818475304106043</v>
      </c>
      <c r="R86">
        <f t="shared" ca="1" si="18"/>
        <v>0.39007407551174594</v>
      </c>
      <c r="S86" cm="1">
        <f t="array" aca="1" ref="S86" ca="1">SUMPRODUCT(O85:R85*(B86:E86-B85:E85)/B85:E85)</f>
        <v>-6.486094339741854E-3</v>
      </c>
      <c r="T86">
        <f t="shared" ca="1" si="19"/>
        <v>993.51390566025805</v>
      </c>
    </row>
    <row r="87" spans="1:20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0"/>
        <v>277712</v>
      </c>
      <c r="K87">
        <f t="shared" ca="1" si="11"/>
        <v>2298810</v>
      </c>
      <c r="L87">
        <f t="shared" ca="1" si="12"/>
        <v>1319625</v>
      </c>
      <c r="M87">
        <f t="shared" ca="1" si="13"/>
        <v>2444190</v>
      </c>
      <c r="N87">
        <f t="shared" ca="1" si="14"/>
        <v>6340337</v>
      </c>
      <c r="O87">
        <f t="shared" ca="1" si="15"/>
        <v>4.3800826359860684E-2</v>
      </c>
      <c r="P87">
        <f t="shared" ca="1" si="16"/>
        <v>0.36256905587195126</v>
      </c>
      <c r="Q87">
        <f t="shared" ca="1" si="17"/>
        <v>0.20813168132861076</v>
      </c>
      <c r="R87">
        <f t="shared" ca="1" si="18"/>
        <v>0.38549843643957726</v>
      </c>
      <c r="S87" cm="1">
        <f t="array" aca="1" ref="S87" ca="1">SUMPRODUCT(O86:R86*(B87:E87-B86:E86)/B86:E86)</f>
        <v>8.6629038434217591E-3</v>
      </c>
      <c r="T87">
        <f t="shared" ca="1" si="19"/>
        <v>1008.6629038434219</v>
      </c>
    </row>
    <row r="88" spans="1:20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0"/>
        <v>277600</v>
      </c>
      <c r="K88">
        <f t="shared" ca="1" si="11"/>
        <v>2284010</v>
      </c>
      <c r="L88">
        <f t="shared" ca="1" si="12"/>
        <v>1347125</v>
      </c>
      <c r="M88">
        <f t="shared" ca="1" si="13"/>
        <v>2449335</v>
      </c>
      <c r="N88">
        <f t="shared" ca="1" si="14"/>
        <v>6358070</v>
      </c>
      <c r="O88">
        <f t="shared" ca="1" si="15"/>
        <v>4.3661048085346654E-2</v>
      </c>
      <c r="P88">
        <f t="shared" ca="1" si="16"/>
        <v>0.35923008082641428</v>
      </c>
      <c r="Q88">
        <f t="shared" ca="1" si="17"/>
        <v>0.21187640274485811</v>
      </c>
      <c r="R88">
        <f t="shared" ca="1" si="18"/>
        <v>0.38523246834338093</v>
      </c>
      <c r="S88" cm="1">
        <f t="array" aca="1" ref="S88" ca="1">SUMPRODUCT(O87:R87*(B88:E88-B87:E87)/B87:E87)</f>
        <v>2.7968544889648839E-3</v>
      </c>
      <c r="T88">
        <f t="shared" ca="1" si="19"/>
        <v>1002.796854488965</v>
      </c>
    </row>
    <row r="89" spans="1:20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0"/>
        <v>274832</v>
      </c>
      <c r="K89">
        <f t="shared" ca="1" si="11"/>
        <v>2271800</v>
      </c>
      <c r="L89">
        <f t="shared" ca="1" si="12"/>
        <v>1341875</v>
      </c>
      <c r="M89">
        <f t="shared" ca="1" si="13"/>
        <v>2450385</v>
      </c>
      <c r="N89">
        <f t="shared" ca="1" si="14"/>
        <v>6338892</v>
      </c>
      <c r="O89">
        <f t="shared" ca="1" si="15"/>
        <v>4.3356473023992204E-2</v>
      </c>
      <c r="P89">
        <f t="shared" ca="1" si="16"/>
        <v>0.35839070929115058</v>
      </c>
      <c r="Q89">
        <f t="shared" ca="1" si="17"/>
        <v>0.21168920372834873</v>
      </c>
      <c r="R89">
        <f t="shared" ca="1" si="18"/>
        <v>0.38656361395650851</v>
      </c>
      <c r="S89" cm="1">
        <f t="array" aca="1" ref="S89" ca="1">SUMPRODUCT(O88:R88*(B89:E89-B88:E88)/B88:E88)</f>
        <v>-3.0163241360978881E-3</v>
      </c>
      <c r="T89">
        <f t="shared" ca="1" si="19"/>
        <v>996.98367586390214</v>
      </c>
    </row>
    <row r="90" spans="1:20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0"/>
        <v>277688</v>
      </c>
      <c r="K90">
        <f t="shared" ca="1" si="11"/>
        <v>2311094</v>
      </c>
      <c r="L90">
        <f t="shared" ca="1" si="12"/>
        <v>1396875</v>
      </c>
      <c r="M90">
        <f t="shared" ca="1" si="13"/>
        <v>2447340</v>
      </c>
      <c r="N90">
        <f t="shared" ca="1" si="14"/>
        <v>6432997</v>
      </c>
      <c r="O90">
        <f t="shared" ca="1" si="15"/>
        <v>4.3166194543538573E-2</v>
      </c>
      <c r="P90">
        <f t="shared" ca="1" si="16"/>
        <v>0.35925619116564178</v>
      </c>
      <c r="Q90">
        <f t="shared" ca="1" si="17"/>
        <v>0.21714218116377174</v>
      </c>
      <c r="R90">
        <f t="shared" ca="1" si="18"/>
        <v>0.38043543312704792</v>
      </c>
      <c r="S90" cm="1">
        <f t="array" aca="1" ref="S90" ca="1">SUMPRODUCT(O89:R89*(B90:E90-B89:E89)/B89:E89)</f>
        <v>1.48456544140522E-2</v>
      </c>
      <c r="T90">
        <f t="shared" ca="1" si="19"/>
        <v>1014.8456544140523</v>
      </c>
    </row>
    <row r="91" spans="1:20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0"/>
        <v>278000</v>
      </c>
      <c r="K91">
        <f t="shared" ca="1" si="11"/>
        <v>2294814</v>
      </c>
      <c r="L91">
        <f t="shared" ca="1" si="12"/>
        <v>1457125</v>
      </c>
      <c r="M91">
        <f t="shared" ca="1" si="13"/>
        <v>2475795</v>
      </c>
      <c r="N91">
        <f t="shared" ca="1" si="14"/>
        <v>6505734</v>
      </c>
      <c r="O91">
        <f t="shared" ca="1" si="15"/>
        <v>4.2731534981294964E-2</v>
      </c>
      <c r="P91">
        <f t="shared" ca="1" si="16"/>
        <v>0.35273713926822092</v>
      </c>
      <c r="Q91">
        <f t="shared" ca="1" si="17"/>
        <v>0.22397549607776771</v>
      </c>
      <c r="R91">
        <f t="shared" ca="1" si="18"/>
        <v>0.38055582967271639</v>
      </c>
      <c r="S91" cm="1">
        <f t="array" aca="1" ref="S91" ca="1">SUMPRODUCT(O90:R90*(B91:E91-B90:E90)/B90:E90)</f>
        <v>1.130686055037796E-2</v>
      </c>
      <c r="T91">
        <f t="shared" ca="1" si="19"/>
        <v>1011.3068605503779</v>
      </c>
    </row>
    <row r="92" spans="1:20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0"/>
        <v>276112</v>
      </c>
      <c r="K92">
        <f t="shared" ca="1" si="11"/>
        <v>2286378</v>
      </c>
      <c r="L92">
        <f t="shared" ca="1" si="12"/>
        <v>1468875</v>
      </c>
      <c r="M92">
        <f t="shared" ca="1" si="13"/>
        <v>2455005</v>
      </c>
      <c r="N92">
        <f t="shared" ca="1" si="14"/>
        <v>6486370</v>
      </c>
      <c r="O92">
        <f t="shared" ca="1" si="15"/>
        <v>4.2568031117558816E-2</v>
      </c>
      <c r="P92">
        <f t="shared" ca="1" si="16"/>
        <v>0.35248960512582539</v>
      </c>
      <c r="Q92">
        <f t="shared" ca="1" si="17"/>
        <v>0.22645562926567556</v>
      </c>
      <c r="R92">
        <f t="shared" ca="1" si="18"/>
        <v>0.37848673449094022</v>
      </c>
      <c r="S92" cm="1">
        <f t="array" aca="1" ref="S92" ca="1">SUMPRODUCT(O91:R91*(B92:E92-B91:E91)/B91:E91)</f>
        <v>-2.976451235171873E-3</v>
      </c>
      <c r="T92">
        <f t="shared" ca="1" si="19"/>
        <v>997.02354876482809</v>
      </c>
    </row>
    <row r="93" spans="1:20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0"/>
        <v>275312</v>
      </c>
      <c r="K93">
        <f t="shared" ca="1" si="11"/>
        <v>2290004</v>
      </c>
      <c r="L93">
        <f t="shared" ca="1" si="12"/>
        <v>1456375</v>
      </c>
      <c r="M93">
        <f t="shared" ca="1" si="13"/>
        <v>2508030</v>
      </c>
      <c r="N93">
        <f t="shared" ca="1" si="14"/>
        <v>6529721</v>
      </c>
      <c r="O93">
        <f t="shared" ca="1" si="15"/>
        <v>4.2162904050571229E-2</v>
      </c>
      <c r="P93">
        <f t="shared" ca="1" si="16"/>
        <v>0.35070472383123258</v>
      </c>
      <c r="Q93">
        <f t="shared" ca="1" si="17"/>
        <v>0.22303786026998704</v>
      </c>
      <c r="R93">
        <f t="shared" ca="1" si="18"/>
        <v>0.38409451184820914</v>
      </c>
      <c r="S93" cm="1">
        <f t="array" aca="1" ref="S93" ca="1">SUMPRODUCT(O92:R92*(B93:E93-B92:E92)/B92:E92)</f>
        <v>6.6833991893770735E-3</v>
      </c>
      <c r="T93">
        <f t="shared" ca="1" si="19"/>
        <v>1006.6833991893772</v>
      </c>
    </row>
    <row r="94" spans="1:20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0"/>
        <v>275312</v>
      </c>
      <c r="K94">
        <f t="shared" ca="1" si="11"/>
        <v>2306876</v>
      </c>
      <c r="L94">
        <f t="shared" ca="1" si="12"/>
        <v>1493875</v>
      </c>
      <c r="M94">
        <f t="shared" ca="1" si="13"/>
        <v>2507610</v>
      </c>
      <c r="N94">
        <f t="shared" ca="1" si="14"/>
        <v>6583673</v>
      </c>
      <c r="O94">
        <f t="shared" ca="1" si="15"/>
        <v>4.1817386738375373E-2</v>
      </c>
      <c r="P94">
        <f t="shared" ca="1" si="16"/>
        <v>0.3503934657751076</v>
      </c>
      <c r="Q94">
        <f t="shared" ca="1" si="17"/>
        <v>0.22690601431753976</v>
      </c>
      <c r="R94">
        <f t="shared" ca="1" si="18"/>
        <v>0.38088313316897726</v>
      </c>
      <c r="S94" cm="1">
        <f t="array" aca="1" ref="S94" ca="1">SUMPRODUCT(O93:R93*(B94:E94-B93:E93)/B93:E93)</f>
        <v>8.2625276026341704E-3</v>
      </c>
      <c r="T94">
        <f t="shared" ca="1" si="19"/>
        <v>1008.2625276026342</v>
      </c>
    </row>
    <row r="95" spans="1:20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0"/>
        <v>276304</v>
      </c>
      <c r="K95">
        <f t="shared" ca="1" si="11"/>
        <v>2323600</v>
      </c>
      <c r="L95">
        <f t="shared" ca="1" si="12"/>
        <v>1510500</v>
      </c>
      <c r="M95">
        <f t="shared" ca="1" si="13"/>
        <v>2546092.5</v>
      </c>
      <c r="N95">
        <f t="shared" ca="1" si="14"/>
        <v>6656496.5</v>
      </c>
      <c r="O95">
        <f t="shared" ca="1" si="15"/>
        <v>4.1508922899606421E-2</v>
      </c>
      <c r="P95">
        <f t="shared" ca="1" si="16"/>
        <v>0.34907251885432522</v>
      </c>
      <c r="Q95">
        <f t="shared" ca="1" si="17"/>
        <v>0.22692117392385019</v>
      </c>
      <c r="R95">
        <f t="shared" ca="1" si="18"/>
        <v>0.38249738432221814</v>
      </c>
      <c r="S95" cm="1">
        <f t="array" aca="1" ref="S95" ca="1">SUMPRODUCT(O94:R94*(B95:E95-B94:E94)/B94:E94)</f>
        <v>1.1061226765059586E-2</v>
      </c>
      <c r="T95">
        <f t="shared" ca="1" si="19"/>
        <v>1011.0612267650596</v>
      </c>
    </row>
    <row r="96" spans="1:20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0"/>
        <v>280080</v>
      </c>
      <c r="K96">
        <f t="shared" ca="1" si="11"/>
        <v>2357048</v>
      </c>
      <c r="L96">
        <f t="shared" ca="1" si="12"/>
        <v>1535375</v>
      </c>
      <c r="M96">
        <f t="shared" ca="1" si="13"/>
        <v>2591925</v>
      </c>
      <c r="N96">
        <f t="shared" ca="1" si="14"/>
        <v>6764428</v>
      </c>
      <c r="O96">
        <f t="shared" ca="1" si="15"/>
        <v>4.1404831273242911E-2</v>
      </c>
      <c r="P96">
        <f t="shared" ca="1" si="16"/>
        <v>0.34844749622584498</v>
      </c>
      <c r="Q96">
        <f t="shared" ca="1" si="17"/>
        <v>0.2269778021142364</v>
      </c>
      <c r="R96">
        <f t="shared" ca="1" si="18"/>
        <v>0.38316987038667571</v>
      </c>
      <c r="S96" cm="1">
        <f t="array" aca="1" ref="S96" ca="1">SUMPRODUCT(O95:R95*(B96:E96-B95:E95)/B95:E95)</f>
        <v>1.6214460564953292E-2</v>
      </c>
      <c r="T96">
        <f t="shared" ca="1" si="19"/>
        <v>1016.2144605649532</v>
      </c>
    </row>
    <row r="97" spans="1:20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0"/>
        <v>280256</v>
      </c>
      <c r="K97">
        <f t="shared" ca="1" si="11"/>
        <v>2355716</v>
      </c>
      <c r="L97">
        <f t="shared" ca="1" si="12"/>
        <v>1534500</v>
      </c>
      <c r="M97">
        <f t="shared" ca="1" si="13"/>
        <v>2579220</v>
      </c>
      <c r="N97">
        <f t="shared" ca="1" si="14"/>
        <v>6749692</v>
      </c>
      <c r="O97">
        <f t="shared" ca="1" si="15"/>
        <v>4.152130200903982E-2</v>
      </c>
      <c r="P97">
        <f t="shared" ca="1" si="16"/>
        <v>0.34901088820052828</v>
      </c>
      <c r="Q97">
        <f t="shared" ca="1" si="17"/>
        <v>0.22734370694247974</v>
      </c>
      <c r="R97">
        <f t="shared" ca="1" si="18"/>
        <v>0.38212410284795217</v>
      </c>
      <c r="S97" cm="1">
        <f t="array" aca="1" ref="S97" ca="1">SUMPRODUCT(O96:R96*(B97:E97-B96:E96)/B96:E96)</f>
        <v>-2.1784547045219597E-3</v>
      </c>
      <c r="T97">
        <f t="shared" ca="1" si="19"/>
        <v>997.82154529547802</v>
      </c>
    </row>
    <row r="98" spans="1:20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0"/>
        <v>278720</v>
      </c>
      <c r="K98">
        <f t="shared" ca="1" si="11"/>
        <v>2376732</v>
      </c>
      <c r="L98">
        <f t="shared" ca="1" si="12"/>
        <v>1563125</v>
      </c>
      <c r="M98">
        <f t="shared" ca="1" si="13"/>
        <v>2607360</v>
      </c>
      <c r="N98">
        <f t="shared" ca="1" si="14"/>
        <v>6825937</v>
      </c>
      <c r="O98">
        <f t="shared" ca="1" si="15"/>
        <v>4.083248937105631E-2</v>
      </c>
      <c r="P98">
        <f t="shared" ca="1" si="16"/>
        <v>0.34819131790990748</v>
      </c>
      <c r="Q98">
        <f t="shared" ca="1" si="17"/>
        <v>0.22899786505501002</v>
      </c>
      <c r="R98">
        <f t="shared" ca="1" si="18"/>
        <v>0.38197832766402617</v>
      </c>
      <c r="S98" cm="1">
        <f t="array" aca="1" ref="S98" ca="1">SUMPRODUCT(O97:R97*(B98:E98-B97:E97)/B97:E97)</f>
        <v>1.129607099109118E-2</v>
      </c>
      <c r="T98">
        <f t="shared" ca="1" si="19"/>
        <v>1011.2960709910913</v>
      </c>
    </row>
    <row r="99" spans="1:20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0"/>
        <v>274496</v>
      </c>
      <c r="K99">
        <f t="shared" ca="1" si="11"/>
        <v>2332924</v>
      </c>
      <c r="L99">
        <f t="shared" ca="1" si="12"/>
        <v>1532000</v>
      </c>
      <c r="M99">
        <f t="shared" ca="1" si="13"/>
        <v>2590770</v>
      </c>
      <c r="N99">
        <f t="shared" ca="1" si="14"/>
        <v>6730190</v>
      </c>
      <c r="O99">
        <f t="shared" ca="1" si="15"/>
        <v>4.0785772764216167E-2</v>
      </c>
      <c r="P99">
        <f t="shared" ca="1" si="16"/>
        <v>0.34663568190496852</v>
      </c>
      <c r="Q99">
        <f t="shared" ca="1" si="17"/>
        <v>0.2276310178464501</v>
      </c>
      <c r="R99">
        <f t="shared" ca="1" si="18"/>
        <v>0.38494752748436523</v>
      </c>
      <c r="S99" cm="1">
        <f t="array" aca="1" ref="S99" ca="1">SUMPRODUCT(O98:R98*(B99:E99-B98:E98)/B98:E98)</f>
        <v>-1.4026938719182416E-2</v>
      </c>
      <c r="T99">
        <f t="shared" ca="1" si="19"/>
        <v>985.97306128081766</v>
      </c>
    </row>
    <row r="100" spans="1:20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0"/>
        <v>274944</v>
      </c>
      <c r="K100">
        <f t="shared" ca="1" si="11"/>
        <v>2322490</v>
      </c>
      <c r="L100">
        <f t="shared" ca="1" si="12"/>
        <v>1511250</v>
      </c>
      <c r="M100">
        <f t="shared" ca="1" si="13"/>
        <v>2616705</v>
      </c>
      <c r="N100">
        <f t="shared" ca="1" si="14"/>
        <v>6725389</v>
      </c>
      <c r="O100">
        <f t="shared" ca="1" si="15"/>
        <v>4.088150142690631E-2</v>
      </c>
      <c r="P100">
        <f t="shared" ca="1" si="16"/>
        <v>0.34533169754195631</v>
      </c>
      <c r="Q100">
        <f t="shared" ca="1" si="17"/>
        <v>0.22470819160051561</v>
      </c>
      <c r="R100">
        <f t="shared" ca="1" si="18"/>
        <v>0.38907860943062178</v>
      </c>
      <c r="S100" cm="1">
        <f t="array" aca="1" ref="S100" ca="1">SUMPRODUCT(O99:R99*(B100:E100-B99:E99)/B99:E99)</f>
        <v>-7.1335281767672754E-4</v>
      </c>
      <c r="T100">
        <f t="shared" ca="1" si="19"/>
        <v>999.28664718232335</v>
      </c>
    </row>
    <row r="101" spans="1:20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0"/>
        <v>276784</v>
      </c>
      <c r="K101">
        <f t="shared" ca="1" si="11"/>
        <v>2411808</v>
      </c>
      <c r="L101">
        <f t="shared" ca="1" si="12"/>
        <v>1543500</v>
      </c>
      <c r="M101">
        <f t="shared" ca="1" si="13"/>
        <v>2653245</v>
      </c>
      <c r="N101">
        <f t="shared" ca="1" si="14"/>
        <v>6885337</v>
      </c>
      <c r="O101">
        <f t="shared" ca="1" si="15"/>
        <v>4.0199049080676806E-2</v>
      </c>
      <c r="P101">
        <f t="shared" ca="1" si="16"/>
        <v>0.35028176543864159</v>
      </c>
      <c r="Q101">
        <f t="shared" ca="1" si="17"/>
        <v>0.22417203399049312</v>
      </c>
      <c r="R101">
        <f t="shared" ca="1" si="18"/>
        <v>0.3853471514901885</v>
      </c>
      <c r="S101" cm="1">
        <f t="array" aca="1" ref="S101" ca="1">SUMPRODUCT(O100:R100*(B101:E101-B100:E100)/B100:E100)</f>
        <v>2.3782713535231915E-2</v>
      </c>
      <c r="T101">
        <f t="shared" ca="1" si="19"/>
        <v>1023.782713535232</v>
      </c>
    </row>
    <row r="102" spans="1:20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0"/>
        <v>280688</v>
      </c>
      <c r="K102">
        <f t="shared" ca="1" si="11"/>
        <v>2463386</v>
      </c>
      <c r="L102">
        <f t="shared" ca="1" si="12"/>
        <v>1557625</v>
      </c>
      <c r="M102">
        <f t="shared" ca="1" si="13"/>
        <v>2751420</v>
      </c>
      <c r="N102">
        <f t="shared" ca="1" si="14"/>
        <v>7053119</v>
      </c>
      <c r="O102">
        <f t="shared" ca="1" si="15"/>
        <v>3.9796294376998317E-2</v>
      </c>
      <c r="P102">
        <f t="shared" ca="1" si="16"/>
        <v>0.34926193645676473</v>
      </c>
      <c r="Q102">
        <f t="shared" ca="1" si="17"/>
        <v>0.22084201329936443</v>
      </c>
      <c r="R102">
        <f t="shared" ca="1" si="18"/>
        <v>0.39009975586687251</v>
      </c>
      <c r="S102" cm="1">
        <f t="array" aca="1" ref="S102" ca="1">SUMPRODUCT(O101:R101*(B102:E102-B101:E101)/B101:E101)</f>
        <v>2.4368015683182968E-2</v>
      </c>
      <c r="T102">
        <f t="shared" ca="1" si="19"/>
        <v>1024.3680156831829</v>
      </c>
    </row>
    <row r="103" spans="1:20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0"/>
        <v>283680</v>
      </c>
      <c r="K103">
        <f t="shared" ca="1" si="11"/>
        <v>2450954</v>
      </c>
      <c r="L103">
        <f t="shared" ca="1" si="12"/>
        <v>1545875</v>
      </c>
      <c r="M103">
        <f t="shared" ca="1" si="13"/>
        <v>2756460</v>
      </c>
      <c r="N103">
        <f t="shared" ca="1" si="14"/>
        <v>7036969</v>
      </c>
      <c r="O103">
        <f t="shared" ca="1" si="15"/>
        <v>4.0312810813860345E-2</v>
      </c>
      <c r="P103">
        <f t="shared" ca="1" si="16"/>
        <v>0.34829683063830463</v>
      </c>
      <c r="Q103">
        <f t="shared" ca="1" si="17"/>
        <v>0.21967909763422291</v>
      </c>
      <c r="R103">
        <f t="shared" ca="1" si="18"/>
        <v>0.39171126091361208</v>
      </c>
      <c r="S103" cm="1">
        <f t="array" aca="1" ref="S103" ca="1">SUMPRODUCT(O102:R102*(B103:E103-B102:E102)/B102:E102)</f>
        <v>-2.2897671228856937E-3</v>
      </c>
      <c r="T103">
        <f t="shared" ca="1" si="19"/>
        <v>997.71023287711432</v>
      </c>
    </row>
    <row r="104" spans="1:20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0"/>
        <v>283600</v>
      </c>
      <c r="K104">
        <f t="shared" ca="1" si="11"/>
        <v>2430086</v>
      </c>
      <c r="L104">
        <f t="shared" ca="1" si="12"/>
        <v>1535875</v>
      </c>
      <c r="M104">
        <f t="shared" ca="1" si="13"/>
        <v>2779560.0000000005</v>
      </c>
      <c r="N104">
        <f t="shared" ca="1" si="14"/>
        <v>7029121</v>
      </c>
      <c r="O104">
        <f t="shared" ca="1" si="15"/>
        <v>4.0346438765245324E-2</v>
      </c>
      <c r="P104">
        <f t="shared" ca="1" si="16"/>
        <v>0.34571691111875869</v>
      </c>
      <c r="Q104">
        <f t="shared" ca="1" si="17"/>
        <v>0.21850171593290257</v>
      </c>
      <c r="R104">
        <f t="shared" ca="1" si="18"/>
        <v>0.3954349341830935</v>
      </c>
      <c r="S104" cm="1">
        <f t="array" aca="1" ref="S104" ca="1">SUMPRODUCT(O103:R103*(B104:E104-B103:E103)/B103:E103)</f>
        <v>-1.1152528879975823E-3</v>
      </c>
      <c r="T104">
        <f t="shared" ca="1" si="19"/>
        <v>998.8847471120024</v>
      </c>
    </row>
    <row r="105" spans="1:20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0"/>
        <v>288144</v>
      </c>
      <c r="K105">
        <f t="shared" ca="1" si="11"/>
        <v>2461092</v>
      </c>
      <c r="L105">
        <f t="shared" ca="1" si="12"/>
        <v>1546500</v>
      </c>
      <c r="M105">
        <f t="shared" ca="1" si="13"/>
        <v>2862405</v>
      </c>
      <c r="N105">
        <f t="shared" ca="1" si="14"/>
        <v>7158141</v>
      </c>
      <c r="O105">
        <f t="shared" ca="1" si="15"/>
        <v>4.0254026848590994E-2</v>
      </c>
      <c r="P105">
        <f t="shared" ca="1" si="16"/>
        <v>0.34381720058322407</v>
      </c>
      <c r="Q105">
        <f t="shared" ca="1" si="17"/>
        <v>0.21604771406430803</v>
      </c>
      <c r="R105">
        <f t="shared" ca="1" si="18"/>
        <v>0.3998810585038769</v>
      </c>
      <c r="S105" cm="1">
        <f t="array" aca="1" ref="S105" ca="1">SUMPRODUCT(O104:R104*(B105:E105-B104:E104)/B104:E104)</f>
        <v>1.8355068862806571E-2</v>
      </c>
      <c r="T105">
        <f t="shared" ca="1" si="19"/>
        <v>1018.3550688628064</v>
      </c>
    </row>
    <row r="106" spans="1:20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0"/>
        <v>289520</v>
      </c>
      <c r="K106">
        <f t="shared" ca="1" si="11"/>
        <v>2481960</v>
      </c>
      <c r="L106">
        <f t="shared" ca="1" si="12"/>
        <v>1558375</v>
      </c>
      <c r="M106">
        <f t="shared" ca="1" si="13"/>
        <v>2862405</v>
      </c>
      <c r="N106">
        <f t="shared" ca="1" si="14"/>
        <v>7192260</v>
      </c>
      <c r="O106">
        <f t="shared" ca="1" si="15"/>
        <v>4.0254384574528727E-2</v>
      </c>
      <c r="P106">
        <f t="shared" ca="1" si="16"/>
        <v>0.34508763587523256</v>
      </c>
      <c r="Q106">
        <f t="shared" ca="1" si="17"/>
        <v>0.21667389666113293</v>
      </c>
      <c r="R106">
        <f t="shared" ca="1" si="18"/>
        <v>0.39798408288910581</v>
      </c>
      <c r="S106" cm="1">
        <f t="array" aca="1" ref="S106" ca="1">SUMPRODUCT(O105:R105*(B106:E106-B105:E105)/B105:E105)</f>
        <v>4.7664610127126535E-3</v>
      </c>
      <c r="T106">
        <f t="shared" ca="1" si="19"/>
        <v>1004.7664610127127</v>
      </c>
    </row>
    <row r="107" spans="1:20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0"/>
        <v>287328</v>
      </c>
      <c r="K107">
        <f t="shared" ca="1" si="11"/>
        <v>2485956</v>
      </c>
      <c r="L107">
        <f t="shared" ca="1" si="12"/>
        <v>1575125</v>
      </c>
      <c r="M107">
        <f t="shared" ca="1" si="13"/>
        <v>2849595</v>
      </c>
      <c r="N107">
        <f t="shared" ca="1" si="14"/>
        <v>7198004</v>
      </c>
      <c r="O107">
        <f t="shared" ca="1" si="15"/>
        <v>3.9917732749245483E-2</v>
      </c>
      <c r="P107">
        <f t="shared" ca="1" si="16"/>
        <v>0.34536741018760203</v>
      </c>
      <c r="Q107">
        <f t="shared" ca="1" si="17"/>
        <v>0.21882802510251453</v>
      </c>
      <c r="R107">
        <f t="shared" ca="1" si="18"/>
        <v>0.39588683196063795</v>
      </c>
      <c r="S107" cm="1">
        <f t="array" aca="1" ref="S107" ca="1">SUMPRODUCT(O106:R106*(B107:E107-B106:E106)/B106:E106)</f>
        <v>7.9863631181296903E-4</v>
      </c>
      <c r="T107">
        <f t="shared" ca="1" si="19"/>
        <v>1000.7986363118129</v>
      </c>
    </row>
    <row r="108" spans="1:20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0"/>
        <v>286736</v>
      </c>
      <c r="K108">
        <f t="shared" ca="1" si="11"/>
        <v>2469232</v>
      </c>
      <c r="L108">
        <f t="shared" ca="1" si="12"/>
        <v>1591375</v>
      </c>
      <c r="M108">
        <f t="shared" ca="1" si="13"/>
        <v>2846760</v>
      </c>
      <c r="N108">
        <f t="shared" ca="1" si="14"/>
        <v>7194103</v>
      </c>
      <c r="O108">
        <f t="shared" ca="1" si="15"/>
        <v>3.9857088507073084E-2</v>
      </c>
      <c r="P108">
        <f t="shared" ca="1" si="16"/>
        <v>0.3432300037961647</v>
      </c>
      <c r="Q108">
        <f t="shared" ca="1" si="17"/>
        <v>0.22120547898744292</v>
      </c>
      <c r="R108">
        <f t="shared" ca="1" si="18"/>
        <v>0.3957074287093193</v>
      </c>
      <c r="S108" cm="1">
        <f t="array" aca="1" ref="S108" ca="1">SUMPRODUCT(O107:R107*(B108:E108-B107:E107)/B107:E107)</f>
        <v>-5.419557977461235E-4</v>
      </c>
      <c r="T108">
        <f t="shared" ca="1" si="19"/>
        <v>999.45804420225397</v>
      </c>
    </row>
    <row r="109" spans="1:20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0"/>
        <v>284512</v>
      </c>
      <c r="K109">
        <f t="shared" ca="1" si="11"/>
        <v>2393012</v>
      </c>
      <c r="L109">
        <f t="shared" ca="1" si="12"/>
        <v>1531250</v>
      </c>
      <c r="M109">
        <f t="shared" ca="1" si="13"/>
        <v>2767800.0000000005</v>
      </c>
      <c r="N109">
        <f t="shared" ca="1" si="14"/>
        <v>6976574</v>
      </c>
      <c r="O109">
        <f t="shared" ca="1" si="15"/>
        <v>4.0781048119033783E-2</v>
      </c>
      <c r="P109">
        <f t="shared" ca="1" si="16"/>
        <v>0.34300675374474637</v>
      </c>
      <c r="Q109">
        <f t="shared" ca="1" si="17"/>
        <v>0.21948452062573981</v>
      </c>
      <c r="R109">
        <f t="shared" ca="1" si="18"/>
        <v>0.39672767751048016</v>
      </c>
      <c r="S109" cm="1">
        <f t="array" aca="1" ref="S109" ca="1">SUMPRODUCT(O108:R108*(B109:E109-B108:E108)/B108:E108)</f>
        <v>-3.0237126157354147E-2</v>
      </c>
      <c r="T109">
        <f t="shared" ca="1" si="19"/>
        <v>969.76287384264583</v>
      </c>
    </row>
    <row r="110" spans="1:20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0"/>
        <v>288912</v>
      </c>
      <c r="K110">
        <f t="shared" ca="1" si="11"/>
        <v>2406924</v>
      </c>
      <c r="L110">
        <f t="shared" ca="1" si="12"/>
        <v>1526750</v>
      </c>
      <c r="M110">
        <f t="shared" ca="1" si="13"/>
        <v>2778090</v>
      </c>
      <c r="N110">
        <f t="shared" ca="1" si="14"/>
        <v>7000676</v>
      </c>
      <c r="O110">
        <f t="shared" ca="1" si="15"/>
        <v>4.1269157435653354E-2</v>
      </c>
      <c r="P110">
        <f t="shared" ca="1" si="16"/>
        <v>0.34381308319368015</v>
      </c>
      <c r="Q110">
        <f t="shared" ca="1" si="17"/>
        <v>0.21808608197265522</v>
      </c>
      <c r="R110">
        <f t="shared" ca="1" si="18"/>
        <v>0.39683167739801128</v>
      </c>
      <c r="S110" cm="1">
        <f t="array" aca="1" ref="S110" ca="1">SUMPRODUCT(O109:R109*(B110:E110-B109:E109)/B109:E109)</f>
        <v>3.4547042717528072E-3</v>
      </c>
      <c r="T110">
        <f t="shared" ca="1" si="19"/>
        <v>1003.4547042717528</v>
      </c>
    </row>
    <row r="111" spans="1:20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0"/>
        <v>289536</v>
      </c>
      <c r="K111">
        <f t="shared" ca="1" si="11"/>
        <v>2418246</v>
      </c>
      <c r="L111">
        <f t="shared" ca="1" si="12"/>
        <v>1527875</v>
      </c>
      <c r="M111">
        <f t="shared" ca="1" si="13"/>
        <v>2781975</v>
      </c>
      <c r="N111">
        <f t="shared" ca="1" si="14"/>
        <v>7017632</v>
      </c>
      <c r="O111">
        <f t="shared" ca="1" si="15"/>
        <v>4.1258361794975856E-2</v>
      </c>
      <c r="P111">
        <f t="shared" ca="1" si="16"/>
        <v>0.34459572687767043</v>
      </c>
      <c r="Q111">
        <f t="shared" ca="1" si="17"/>
        <v>0.21771945294367104</v>
      </c>
      <c r="R111">
        <f t="shared" ca="1" si="18"/>
        <v>0.39642645838368268</v>
      </c>
      <c r="S111" cm="1">
        <f t="array" aca="1" ref="S111" ca="1">SUMPRODUCT(O110:R110*(B111:E111-B110:E110)/B110:E110)</f>
        <v>2.4220518132820794E-3</v>
      </c>
      <c r="T111">
        <f t="shared" ca="1" si="19"/>
        <v>1002.422051813282</v>
      </c>
    </row>
    <row r="112" spans="1:20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0"/>
        <v>294064</v>
      </c>
      <c r="K112">
        <f t="shared" ca="1" si="11"/>
        <v>2455690</v>
      </c>
      <c r="L112">
        <f t="shared" ca="1" si="12"/>
        <v>1545500</v>
      </c>
      <c r="M112">
        <f t="shared" ca="1" si="13"/>
        <v>2846025</v>
      </c>
      <c r="N112">
        <f t="shared" ca="1" si="14"/>
        <v>7141279</v>
      </c>
      <c r="O112">
        <f t="shared" ca="1" si="15"/>
        <v>4.1178057880108032E-2</v>
      </c>
      <c r="P112">
        <f t="shared" ca="1" si="16"/>
        <v>0.34387257520676617</v>
      </c>
      <c r="Q112">
        <f t="shared" ca="1" si="17"/>
        <v>0.2164178153521239</v>
      </c>
      <c r="R112">
        <f t="shared" ca="1" si="18"/>
        <v>0.3985315515610019</v>
      </c>
      <c r="S112" cm="1">
        <f t="array" aca="1" ref="S112" ca="1">SUMPRODUCT(O111:R111*(B112:E112-B111:E111)/B111:E111)</f>
        <v>1.761947619937896E-2</v>
      </c>
      <c r="T112">
        <f t="shared" ca="1" si="19"/>
        <v>1017.6194761993788</v>
      </c>
    </row>
    <row r="113" spans="1:20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0"/>
        <v>293296</v>
      </c>
      <c r="K113">
        <f t="shared" ca="1" si="11"/>
        <v>2473746</v>
      </c>
      <c r="L113">
        <f t="shared" ca="1" si="12"/>
        <v>1547875</v>
      </c>
      <c r="M113">
        <f t="shared" ca="1" si="13"/>
        <v>2848860</v>
      </c>
      <c r="N113">
        <f t="shared" ca="1" si="14"/>
        <v>7163777</v>
      </c>
      <c r="O113">
        <f t="shared" ca="1" si="15"/>
        <v>4.0941531262070271E-2</v>
      </c>
      <c r="P113">
        <f t="shared" ca="1" si="16"/>
        <v>0.34531309391679837</v>
      </c>
      <c r="Q113">
        <f t="shared" ca="1" si="17"/>
        <v>0.2160696794442373</v>
      </c>
      <c r="R113">
        <f t="shared" ca="1" si="18"/>
        <v>0.39767569537689407</v>
      </c>
      <c r="S113" cm="1">
        <f t="array" aca="1" ref="S113" ca="1">SUMPRODUCT(O112:R112*(B113:E113-B112:E112)/B112:E112)</f>
        <v>3.1504160529227014E-3</v>
      </c>
      <c r="T113">
        <f t="shared" ca="1" si="19"/>
        <v>1003.1504160529228</v>
      </c>
    </row>
    <row r="114" spans="1:20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0"/>
        <v>294320</v>
      </c>
      <c r="K114">
        <f t="shared" ca="1" si="11"/>
        <v>2496316</v>
      </c>
      <c r="L114">
        <f t="shared" ca="1" si="12"/>
        <v>1545875</v>
      </c>
      <c r="M114">
        <f t="shared" ca="1" si="13"/>
        <v>2870175.0000000005</v>
      </c>
      <c r="N114">
        <f t="shared" ca="1" si="14"/>
        <v>7206686</v>
      </c>
      <c r="O114">
        <f t="shared" ca="1" si="15"/>
        <v>4.0839853436100866E-2</v>
      </c>
      <c r="P114">
        <f t="shared" ca="1" si="16"/>
        <v>0.34638889497891262</v>
      </c>
      <c r="Q114">
        <f t="shared" ca="1" si="17"/>
        <v>0.21450566876370081</v>
      </c>
      <c r="R114">
        <f t="shared" ca="1" si="18"/>
        <v>0.39826558282128577</v>
      </c>
      <c r="S114" cm="1">
        <f t="array" aca="1" ref="S114" ca="1">SUMPRODUCT(O113:R113*(B114:E114-B113:E113)/B113:E113)</f>
        <v>5.9897174353696373E-3</v>
      </c>
      <c r="T114">
        <f t="shared" ca="1" si="19"/>
        <v>1005.9897174353696</v>
      </c>
    </row>
    <row r="115" spans="1:20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0"/>
        <v>297616</v>
      </c>
      <c r="K115">
        <f t="shared" ca="1" si="11"/>
        <v>2575940</v>
      </c>
      <c r="L115">
        <f t="shared" ca="1" si="12"/>
        <v>1563625</v>
      </c>
      <c r="M115">
        <f t="shared" ca="1" si="13"/>
        <v>2959215</v>
      </c>
      <c r="N115">
        <f t="shared" ca="1" si="14"/>
        <v>7396396</v>
      </c>
      <c r="O115">
        <f t="shared" ca="1" si="15"/>
        <v>4.0237975359891494E-2</v>
      </c>
      <c r="P115">
        <f t="shared" ca="1" si="16"/>
        <v>0.34826961671603307</v>
      </c>
      <c r="Q115">
        <f t="shared" ca="1" si="17"/>
        <v>0.21140363495951273</v>
      </c>
      <c r="R115">
        <f t="shared" ca="1" si="18"/>
        <v>0.40008877296456274</v>
      </c>
      <c r="S115" cm="1">
        <f t="array" aca="1" ref="S115" ca="1">SUMPRODUCT(O114:R114*(B115:E115-B114:E114)/B114:E114)</f>
        <v>2.6324166197889014E-2</v>
      </c>
      <c r="T115">
        <f t="shared" ca="1" si="19"/>
        <v>1026.3241661978891</v>
      </c>
    </row>
    <row r="116" spans="1:20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0"/>
        <v>295872</v>
      </c>
      <c r="K116">
        <f t="shared" ca="1" si="11"/>
        <v>2533242</v>
      </c>
      <c r="L116">
        <f t="shared" ca="1" si="12"/>
        <v>1544125</v>
      </c>
      <c r="M116">
        <f t="shared" ca="1" si="13"/>
        <v>2950500</v>
      </c>
      <c r="N116">
        <f t="shared" ca="1" si="14"/>
        <v>7323739</v>
      </c>
      <c r="O116">
        <f t="shared" ca="1" si="15"/>
        <v>4.039903661230964E-2</v>
      </c>
      <c r="P116">
        <f t="shared" ca="1" si="16"/>
        <v>0.34589463114400992</v>
      </c>
      <c r="Q116">
        <f t="shared" ca="1" si="17"/>
        <v>0.21083834363840656</v>
      </c>
      <c r="R116">
        <f t="shared" ca="1" si="18"/>
        <v>0.4028679886052739</v>
      </c>
      <c r="S116" cm="1">
        <f t="array" aca="1" ref="S116" ca="1">SUMPRODUCT(O115:R115*(B116:E116-B115:E115)/B115:E115)</f>
        <v>-9.8232977250001432E-3</v>
      </c>
      <c r="T116">
        <f t="shared" ca="1" si="19"/>
        <v>990.17670227499991</v>
      </c>
    </row>
    <row r="117" spans="1:20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0"/>
        <v>296016</v>
      </c>
      <c r="K117">
        <f t="shared" ca="1" si="11"/>
        <v>2501570</v>
      </c>
      <c r="L117">
        <f t="shared" ca="1" si="12"/>
        <v>1538750</v>
      </c>
      <c r="M117">
        <f t="shared" ca="1" si="13"/>
        <v>2985465</v>
      </c>
      <c r="N117">
        <f t="shared" ca="1" si="14"/>
        <v>7321801</v>
      </c>
      <c r="O117">
        <f t="shared" ca="1" si="15"/>
        <v>4.0429397084132714E-2</v>
      </c>
      <c r="P117">
        <f t="shared" ca="1" si="16"/>
        <v>0.34166047397354832</v>
      </c>
      <c r="Q117">
        <f t="shared" ca="1" si="17"/>
        <v>0.21016004122482979</v>
      </c>
      <c r="R117">
        <f t="shared" ca="1" si="18"/>
        <v>0.40775008771748916</v>
      </c>
      <c r="S117" cm="1">
        <f t="array" aca="1" ref="S117" ca="1">SUMPRODUCT(O116:R116*(B117:E117-B116:E116)/B116:E116)</f>
        <v>-2.6461893303407567E-4</v>
      </c>
      <c r="T117">
        <f t="shared" ca="1" si="19"/>
        <v>999.73538106696594</v>
      </c>
    </row>
    <row r="118" spans="1:20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0"/>
        <v>294336</v>
      </c>
      <c r="K118">
        <f t="shared" ca="1" si="11"/>
        <v>2468344</v>
      </c>
      <c r="L118">
        <f t="shared" ca="1" si="12"/>
        <v>1506875</v>
      </c>
      <c r="M118">
        <f t="shared" ca="1" si="13"/>
        <v>2957220</v>
      </c>
      <c r="N118">
        <f t="shared" ca="1" si="14"/>
        <v>7226775</v>
      </c>
      <c r="O118">
        <f t="shared" ca="1" si="15"/>
        <v>4.0728540739126372E-2</v>
      </c>
      <c r="P118">
        <f t="shared" ca="1" si="16"/>
        <v>0.34155539642509969</v>
      </c>
      <c r="Q118">
        <f t="shared" ca="1" si="17"/>
        <v>0.2085127875158698</v>
      </c>
      <c r="R118">
        <f t="shared" ca="1" si="18"/>
        <v>0.40920327531990408</v>
      </c>
      <c r="S118" cm="1">
        <f t="array" aca="1" ref="S118" ca="1">SUMPRODUCT(O117:R117*(B118:E118-B117:E117)/B117:E117)</f>
        <v>-1.2978500781433418E-2</v>
      </c>
      <c r="T118">
        <f t="shared" ca="1" si="19"/>
        <v>987.02149921856665</v>
      </c>
    </row>
    <row r="119" spans="1:20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0"/>
        <v>299200</v>
      </c>
      <c r="K119">
        <f t="shared" ca="1" si="11"/>
        <v>2513854</v>
      </c>
      <c r="L119">
        <f t="shared" ca="1" si="12"/>
        <v>1539375</v>
      </c>
      <c r="M119">
        <f t="shared" ca="1" si="13"/>
        <v>2991240</v>
      </c>
      <c r="N119">
        <f t="shared" ca="1" si="14"/>
        <v>7343669</v>
      </c>
      <c r="O119">
        <f t="shared" ca="1" si="15"/>
        <v>4.07425770415306E-2</v>
      </c>
      <c r="P119">
        <f t="shared" ca="1" si="16"/>
        <v>0.34231580971310116</v>
      </c>
      <c r="Q119">
        <f t="shared" ca="1" si="17"/>
        <v>0.20961933333324256</v>
      </c>
      <c r="R119">
        <f t="shared" ca="1" si="18"/>
        <v>0.40732227991212566</v>
      </c>
      <c r="S119" cm="1">
        <f t="array" aca="1" ref="S119" ca="1">SUMPRODUCT(O118:R118*(B119:E119-B118:E118)/B118:E118)</f>
        <v>1.6175126526009182E-2</v>
      </c>
      <c r="T119">
        <f t="shared" ca="1" si="19"/>
        <v>1016.1751265260093</v>
      </c>
    </row>
    <row r="120" spans="1:20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0"/>
        <v>298688</v>
      </c>
      <c r="K120">
        <f t="shared" ca="1" si="11"/>
        <v>2479148</v>
      </c>
      <c r="L120">
        <f t="shared" ca="1" si="12"/>
        <v>1529250</v>
      </c>
      <c r="M120">
        <f t="shared" ca="1" si="13"/>
        <v>3031665</v>
      </c>
      <c r="N120">
        <f t="shared" ca="1" si="14"/>
        <v>7338751</v>
      </c>
      <c r="O120">
        <f t="shared" ca="1" si="15"/>
        <v>4.0700113684195037E-2</v>
      </c>
      <c r="P120">
        <f t="shared" ca="1" si="16"/>
        <v>0.33781606706645312</v>
      </c>
      <c r="Q120">
        <f t="shared" ca="1" si="17"/>
        <v>0.20838014534080798</v>
      </c>
      <c r="R120">
        <f t="shared" ca="1" si="18"/>
        <v>0.41310367390854386</v>
      </c>
      <c r="S120" cm="1">
        <f t="array" aca="1" ref="S120" ca="1">SUMPRODUCT(O119:R119*(B120:E120-B119:E119)/B119:E119)</f>
        <v>-6.6969249294865623E-4</v>
      </c>
      <c r="T120">
        <f t="shared" ca="1" si="19"/>
        <v>999.33030750705132</v>
      </c>
    </row>
    <row r="121" spans="1:20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0"/>
        <v>296432</v>
      </c>
      <c r="K121">
        <f t="shared" ca="1" si="11"/>
        <v>2431640</v>
      </c>
      <c r="L121">
        <f t="shared" ca="1" si="12"/>
        <v>1479250</v>
      </c>
      <c r="M121">
        <f t="shared" ca="1" si="13"/>
        <v>2923935.0000000005</v>
      </c>
      <c r="N121">
        <f t="shared" ca="1" si="14"/>
        <v>7131257</v>
      </c>
      <c r="O121">
        <f t="shared" ca="1" si="15"/>
        <v>4.1567987242641796E-2</v>
      </c>
      <c r="P121">
        <f t="shared" ca="1" si="16"/>
        <v>0.34098336380248251</v>
      </c>
      <c r="Q121">
        <f t="shared" ca="1" si="17"/>
        <v>0.20743187351121969</v>
      </c>
      <c r="R121">
        <f t="shared" ca="1" si="18"/>
        <v>0.41001677544365606</v>
      </c>
      <c r="S121" cm="1">
        <f t="array" aca="1" ref="S121" ca="1">SUMPRODUCT(O120:R120*(B121:E121-B120:E120)/B120:E120)</f>
        <v>-2.8273748489354607E-2</v>
      </c>
      <c r="T121">
        <f t="shared" ca="1" si="19"/>
        <v>971.7262515106454</v>
      </c>
    </row>
    <row r="122" spans="1:20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0"/>
        <v>300896</v>
      </c>
      <c r="K122">
        <f t="shared" ca="1" si="11"/>
        <v>2475818</v>
      </c>
      <c r="L122">
        <f t="shared" ca="1" si="12"/>
        <v>1479125</v>
      </c>
      <c r="M122">
        <f t="shared" ca="1" si="13"/>
        <v>3014025</v>
      </c>
      <c r="N122">
        <f t="shared" ca="1" si="14"/>
        <v>7269864</v>
      </c>
      <c r="O122">
        <f t="shared" ca="1" si="15"/>
        <v>4.13894950441989E-2</v>
      </c>
      <c r="P122">
        <f t="shared" ca="1" si="16"/>
        <v>0.34055905309920514</v>
      </c>
      <c r="Q122">
        <f t="shared" ca="1" si="17"/>
        <v>0.20345978961917308</v>
      </c>
      <c r="R122">
        <f t="shared" ca="1" si="18"/>
        <v>0.41459166223742289</v>
      </c>
      <c r="S122" cm="1">
        <f t="array" aca="1" ref="S122" ca="1">SUMPRODUCT(O121:R121*(B122:E122-B121:E121)/B121:E121)</f>
        <v>1.9436545338360339E-2</v>
      </c>
      <c r="T122">
        <f t="shared" ca="1" si="19"/>
        <v>1019.4365453383602</v>
      </c>
    </row>
    <row r="123" spans="1:20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0"/>
        <v>302800</v>
      </c>
      <c r="K123">
        <f t="shared" ca="1" si="11"/>
        <v>2485290</v>
      </c>
      <c r="L123">
        <f t="shared" ca="1" si="12"/>
        <v>1502250</v>
      </c>
      <c r="M123">
        <f t="shared" ca="1" si="13"/>
        <v>2995545</v>
      </c>
      <c r="N123">
        <f t="shared" ca="1" si="14"/>
        <v>7285885</v>
      </c>
      <c r="O123">
        <f t="shared" ca="1" si="15"/>
        <v>4.1559810510322356E-2</v>
      </c>
      <c r="P123">
        <f t="shared" ca="1" si="16"/>
        <v>0.3411102426129427</v>
      </c>
      <c r="Q123">
        <f t="shared" ca="1" si="17"/>
        <v>0.20618634524151835</v>
      </c>
      <c r="R123">
        <f t="shared" ca="1" si="18"/>
        <v>0.41114360163521657</v>
      </c>
      <c r="S123" cm="1">
        <f t="array" aca="1" ref="S123" ca="1">SUMPRODUCT(O122:R122*(B123:E123-B122:E122)/B122:E122)</f>
        <v>2.2037551183901683E-3</v>
      </c>
      <c r="T123">
        <f t="shared" ca="1" si="19"/>
        <v>1002.2037551183902</v>
      </c>
    </row>
    <row r="124" spans="1:20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0"/>
        <v>303344</v>
      </c>
      <c r="K124">
        <f t="shared" ca="1" si="11"/>
        <v>2479370</v>
      </c>
      <c r="L124">
        <f t="shared" ca="1" si="12"/>
        <v>1488750</v>
      </c>
      <c r="M124">
        <f t="shared" ca="1" si="13"/>
        <v>2956064.9999999995</v>
      </c>
      <c r="N124">
        <f t="shared" ca="1" si="14"/>
        <v>7227529</v>
      </c>
      <c r="O124">
        <f t="shared" ca="1" si="15"/>
        <v>4.1970637544311476E-2</v>
      </c>
      <c r="P124">
        <f t="shared" ca="1" si="16"/>
        <v>0.34304532019172806</v>
      </c>
      <c r="Q124">
        <f t="shared" ca="1" si="17"/>
        <v>0.20598326205263237</v>
      </c>
      <c r="R124">
        <f t="shared" ca="1" si="18"/>
        <v>0.40900078021132802</v>
      </c>
      <c r="S124" cm="1">
        <f t="array" aca="1" ref="S124" ca="1">SUMPRODUCT(O123:R123*(B124:E124-B123:E123)/B123:E123)</f>
        <v>-8.009459386196835E-3</v>
      </c>
      <c r="T124">
        <f t="shared" ca="1" si="19"/>
        <v>991.9905406138032</v>
      </c>
    </row>
    <row r="125" spans="1:20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0"/>
        <v>310352</v>
      </c>
      <c r="K125">
        <f t="shared" ca="1" si="11"/>
        <v>2519996</v>
      </c>
      <c r="L125">
        <f t="shared" ca="1" si="12"/>
        <v>1496250</v>
      </c>
      <c r="M125">
        <f t="shared" ca="1" si="13"/>
        <v>3013290</v>
      </c>
      <c r="N125">
        <f t="shared" ca="1" si="14"/>
        <v>7339888</v>
      </c>
      <c r="O125">
        <f t="shared" ca="1" si="15"/>
        <v>4.2282934017521791E-2</v>
      </c>
      <c r="P125">
        <f t="shared" ca="1" si="16"/>
        <v>0.34332894452885382</v>
      </c>
      <c r="Q125">
        <f t="shared" ca="1" si="17"/>
        <v>0.20385188438842664</v>
      </c>
      <c r="R125">
        <f t="shared" ca="1" si="18"/>
        <v>0.41053623706519771</v>
      </c>
      <c r="S125" cm="1">
        <f t="array" aca="1" ref="S125" ca="1">SUMPRODUCT(O124:R124*(B125:E125-B124:E124)/B124:E124)</f>
        <v>1.5545977055228784E-2</v>
      </c>
      <c r="T125">
        <f t="shared" ca="1" si="19"/>
        <v>1015.5459770552288</v>
      </c>
    </row>
    <row r="126" spans="1:20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0"/>
        <v>307936</v>
      </c>
      <c r="K126">
        <f t="shared" ca="1" si="11"/>
        <v>2501126</v>
      </c>
      <c r="L126">
        <f t="shared" ca="1" si="12"/>
        <v>1498750</v>
      </c>
      <c r="M126">
        <f t="shared" ca="1" si="13"/>
        <v>3003210</v>
      </c>
      <c r="N126">
        <f t="shared" ca="1" si="14"/>
        <v>7311022</v>
      </c>
      <c r="O126">
        <f t="shared" ca="1" si="15"/>
        <v>4.2119419145503871E-2</v>
      </c>
      <c r="P126">
        <f t="shared" ca="1" si="16"/>
        <v>0.34210347062284863</v>
      </c>
      <c r="Q126">
        <f t="shared" ca="1" si="17"/>
        <v>0.20499869922426714</v>
      </c>
      <c r="R126">
        <f t="shared" ca="1" si="18"/>
        <v>0.41077841100738038</v>
      </c>
      <c r="S126" cm="1">
        <f t="array" aca="1" ref="S126" ca="1">SUMPRODUCT(O125:R125*(B126:E126-B125:E125)/B125:E125)</f>
        <v>-3.9327575570635969E-3</v>
      </c>
      <c r="T126">
        <f t="shared" ca="1" si="19"/>
        <v>996.06724244293639</v>
      </c>
    </row>
    <row r="127" spans="1:20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0"/>
        <v>306128</v>
      </c>
      <c r="K127">
        <f t="shared" ca="1" si="11"/>
        <v>2502310</v>
      </c>
      <c r="L127">
        <f t="shared" ca="1" si="12"/>
        <v>1521875</v>
      </c>
      <c r="M127">
        <f t="shared" ca="1" si="13"/>
        <v>3090885</v>
      </c>
      <c r="N127">
        <f t="shared" ca="1" si="14"/>
        <v>7421198</v>
      </c>
      <c r="O127">
        <f t="shared" ca="1" si="15"/>
        <v>4.1250482738770751E-2</v>
      </c>
      <c r="P127">
        <f t="shared" ca="1" si="16"/>
        <v>0.33718410423761769</v>
      </c>
      <c r="Q127">
        <f t="shared" ca="1" si="17"/>
        <v>0.20507133753876397</v>
      </c>
      <c r="R127">
        <f t="shared" ca="1" si="18"/>
        <v>0.41649407548484757</v>
      </c>
      <c r="S127" cm="1">
        <f t="array" aca="1" ref="S127" ca="1">SUMPRODUCT(O126:R126*(B127:E127-B126:E126)/B126:E126)</f>
        <v>1.506984933159823E-2</v>
      </c>
      <c r="T127">
        <f t="shared" ca="1" si="19"/>
        <v>1015.0698493315981</v>
      </c>
    </row>
    <row r="128" spans="1:20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0"/>
        <v>306896</v>
      </c>
      <c r="K128">
        <f t="shared" ca="1" si="11"/>
        <v>2525398</v>
      </c>
      <c r="L128">
        <f t="shared" ca="1" si="12"/>
        <v>1501375</v>
      </c>
      <c r="M128">
        <f t="shared" ca="1" si="13"/>
        <v>3065895</v>
      </c>
      <c r="N128">
        <f t="shared" ca="1" si="14"/>
        <v>7399564</v>
      </c>
      <c r="O128">
        <f t="shared" ca="1" si="15"/>
        <v>4.1474876087293791E-2</v>
      </c>
      <c r="P128">
        <f t="shared" ca="1" si="16"/>
        <v>0.34129010844422725</v>
      </c>
      <c r="Q128">
        <f t="shared" ca="1" si="17"/>
        <v>0.20290046818974738</v>
      </c>
      <c r="R128">
        <f t="shared" ca="1" si="18"/>
        <v>0.41433454727873154</v>
      </c>
      <c r="S128" cm="1">
        <f t="array" aca="1" ref="S128" ca="1">SUMPRODUCT(O127:R127*(B128:E128-B127:E127)/B127:E127)</f>
        <v>-2.9151627540459023E-3</v>
      </c>
      <c r="T128">
        <f t="shared" ca="1" si="19"/>
        <v>997.08483724595408</v>
      </c>
    </row>
    <row r="129" spans="1:20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0"/>
        <v>305088</v>
      </c>
      <c r="K129">
        <f t="shared" ca="1" si="11"/>
        <v>2495428</v>
      </c>
      <c r="L129">
        <f t="shared" ca="1" si="12"/>
        <v>1493500</v>
      </c>
      <c r="M129">
        <f t="shared" ca="1" si="13"/>
        <v>3050564.9999999995</v>
      </c>
      <c r="N129">
        <f t="shared" ca="1" si="14"/>
        <v>7344581</v>
      </c>
      <c r="O129">
        <f t="shared" ca="1" si="15"/>
        <v>4.1539197402819847E-2</v>
      </c>
      <c r="P129">
        <f t="shared" ca="1" si="16"/>
        <v>0.33976451481711484</v>
      </c>
      <c r="Q129">
        <f t="shared" ca="1" si="17"/>
        <v>0.20334720251570512</v>
      </c>
      <c r="R129">
        <f t="shared" ca="1" si="18"/>
        <v>0.41534908526436015</v>
      </c>
      <c r="S129" cm="1">
        <f t="array" aca="1" ref="S129" ca="1">SUMPRODUCT(O128:R128*(B129:E129-B128:E128)/B128:E128)</f>
        <v>-7.4305729364594966E-3</v>
      </c>
      <c r="T129">
        <f t="shared" ca="1" si="19"/>
        <v>992.5694270635405</v>
      </c>
    </row>
    <row r="130" spans="1:20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0"/>
        <v>301776</v>
      </c>
      <c r="K130">
        <f t="shared" ca="1" si="11"/>
        <v>2455542</v>
      </c>
      <c r="L130">
        <f t="shared" ca="1" si="12"/>
        <v>1455625</v>
      </c>
      <c r="M130">
        <f t="shared" ca="1" si="13"/>
        <v>3088050.0000000005</v>
      </c>
      <c r="N130">
        <f t="shared" ca="1" si="14"/>
        <v>7300993</v>
      </c>
      <c r="O130">
        <f t="shared" ca="1" si="15"/>
        <v>4.1333555586205876E-2</v>
      </c>
      <c r="P130">
        <f t="shared" ca="1" si="16"/>
        <v>0.33632986636201406</v>
      </c>
      <c r="Q130">
        <f t="shared" ca="1" si="17"/>
        <v>0.19937356466442305</v>
      </c>
      <c r="R130">
        <f t="shared" ca="1" si="18"/>
        <v>0.42296301338735709</v>
      </c>
      <c r="S130" cm="1">
        <f t="array" aca="1" ref="S130" ca="1">SUMPRODUCT(O129:R129*(B130:E130-B129:E129)/B129:E129)</f>
        <v>-5.9347156767690064E-3</v>
      </c>
      <c r="T130">
        <f t="shared" ca="1" si="19"/>
        <v>994.06528432323103</v>
      </c>
    </row>
    <row r="131" spans="1:20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20">F131*B131</f>
        <v>300928</v>
      </c>
      <c r="K131">
        <f t="shared" ref="K131:K194" ca="1" si="21">G131*C131</f>
        <v>2460278</v>
      </c>
      <c r="L131">
        <f t="shared" ref="L131:L194" ca="1" si="22">H131*D131</f>
        <v>1464250</v>
      </c>
      <c r="M131">
        <f t="shared" ref="M131:M194" ca="1" si="23">I131*E131</f>
        <v>3132045</v>
      </c>
      <c r="N131">
        <f t="shared" ref="N131:N194" ca="1" si="24">SUM(J131:M131)</f>
        <v>7357501</v>
      </c>
      <c r="O131">
        <f t="shared" ref="O131:O194" ca="1" si="25">J131/N131</f>
        <v>4.090084391425839E-2</v>
      </c>
      <c r="P131">
        <f t="shared" ref="P131:P194" ca="1" si="26">K131/N131</f>
        <v>0.33439044044982119</v>
      </c>
      <c r="Q131">
        <f t="shared" ref="Q131:Q194" ca="1" si="27">L131/N131</f>
        <v>0.19901458389200355</v>
      </c>
      <c r="R131">
        <f t="shared" ref="R131:R194" ca="1" si="28">M131/N131</f>
        <v>0.42569413174391685</v>
      </c>
      <c r="S131" cm="1">
        <f t="array" aca="1" ref="S131" ca="1">SUMPRODUCT(O130:R130*(B131:E131-B130:E130)/B130:E130)</f>
        <v>7.7397690971625736E-3</v>
      </c>
      <c r="T131">
        <f t="shared" ca="1" si="19"/>
        <v>1007.7397690971626</v>
      </c>
    </row>
    <row r="132" spans="1:20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20"/>
        <v>303632</v>
      </c>
      <c r="K132">
        <f t="shared" ca="1" si="21"/>
        <v>2495280</v>
      </c>
      <c r="L132">
        <f t="shared" ca="1" si="22"/>
        <v>1486625</v>
      </c>
      <c r="M132">
        <f t="shared" ca="1" si="23"/>
        <v>3248069.9999999995</v>
      </c>
      <c r="N132">
        <f t="shared" ca="1" si="24"/>
        <v>7533607</v>
      </c>
      <c r="O132">
        <f t="shared" ca="1" si="25"/>
        <v>4.0303668614516258E-2</v>
      </c>
      <c r="P132">
        <f t="shared" ca="1" si="26"/>
        <v>0.33121982604083278</v>
      </c>
      <c r="Q132">
        <f t="shared" ca="1" si="27"/>
        <v>0.19733243318904212</v>
      </c>
      <c r="R132">
        <f t="shared" ca="1" si="28"/>
        <v>0.43114407215560879</v>
      </c>
      <c r="S132" cm="1">
        <f t="array" aca="1" ref="S132" ca="1">SUMPRODUCT(O131:R131*(B132:E132-B131:E131)/B131:E131)</f>
        <v>2.3935572689694404E-2</v>
      </c>
      <c r="T132">
        <f t="shared" ref="T132:T195" ca="1" si="29">1000*(S132+1)</f>
        <v>1023.9355726896944</v>
      </c>
    </row>
    <row r="133" spans="1:20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20"/>
        <v>304864</v>
      </c>
      <c r="K133">
        <f t="shared" ca="1" si="21"/>
        <v>2535684</v>
      </c>
      <c r="L133">
        <f t="shared" ca="1" si="22"/>
        <v>1556750</v>
      </c>
      <c r="M133">
        <f t="shared" ca="1" si="23"/>
        <v>3290805.0000000005</v>
      </c>
      <c r="N133">
        <f t="shared" ca="1" si="24"/>
        <v>7688103</v>
      </c>
      <c r="O133">
        <f t="shared" ca="1" si="25"/>
        <v>3.9653995270354729E-2</v>
      </c>
      <c r="P133">
        <f t="shared" ca="1" si="26"/>
        <v>0.32981920247426444</v>
      </c>
      <c r="Q133">
        <f t="shared" ca="1" si="27"/>
        <v>0.20248818206519867</v>
      </c>
      <c r="R133">
        <f t="shared" ca="1" si="28"/>
        <v>0.42803862019018224</v>
      </c>
      <c r="S133" cm="1">
        <f t="array" aca="1" ref="S133" ca="1">SUMPRODUCT(O132:R132*(B133:E133-B132:E132)/B132:E132)</f>
        <v>2.0507573596552191E-2</v>
      </c>
      <c r="T133">
        <f t="shared" ca="1" si="29"/>
        <v>1020.5075735965521</v>
      </c>
    </row>
    <row r="134" spans="1:20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20"/>
        <v>305104</v>
      </c>
      <c r="K134">
        <f t="shared" ca="1" si="21"/>
        <v>2554776</v>
      </c>
      <c r="L134">
        <f t="shared" ca="1" si="22"/>
        <v>1567750</v>
      </c>
      <c r="M134">
        <f t="shared" ca="1" si="23"/>
        <v>3243135</v>
      </c>
      <c r="N134">
        <f t="shared" ca="1" si="24"/>
        <v>7670765</v>
      </c>
      <c r="O134">
        <f t="shared" ca="1" si="25"/>
        <v>3.9774911628761928E-2</v>
      </c>
      <c r="P134">
        <f t="shared" ca="1" si="26"/>
        <v>0.33305361329671812</v>
      </c>
      <c r="Q134">
        <f t="shared" ca="1" si="27"/>
        <v>0.20437987606190516</v>
      </c>
      <c r="R134">
        <f t="shared" ca="1" si="28"/>
        <v>0.42279159901261476</v>
      </c>
      <c r="S134" cm="1">
        <f t="array" aca="1" ref="S134" ca="1">SUMPRODUCT(O133:R133*(B134:E134-B133:E133)/B133:E133)</f>
        <v>-2.2551726999495703E-3</v>
      </c>
      <c r="T134">
        <f t="shared" ca="1" si="29"/>
        <v>997.74482730005047</v>
      </c>
    </row>
    <row r="135" spans="1:20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20"/>
        <v>310384</v>
      </c>
      <c r="K135">
        <f t="shared" ca="1" si="21"/>
        <v>2558402</v>
      </c>
      <c r="L135">
        <f t="shared" ca="1" si="22"/>
        <v>1558125</v>
      </c>
      <c r="M135">
        <f t="shared" ca="1" si="23"/>
        <v>3261510</v>
      </c>
      <c r="N135">
        <f t="shared" ca="1" si="24"/>
        <v>7688421</v>
      </c>
      <c r="O135">
        <f t="shared" ca="1" si="25"/>
        <v>4.0370317910530654E-2</v>
      </c>
      <c r="P135">
        <f t="shared" ca="1" si="26"/>
        <v>0.33276039384419764</v>
      </c>
      <c r="Q135">
        <f t="shared" ca="1" si="27"/>
        <v>0.20265864733473882</v>
      </c>
      <c r="R135">
        <f t="shared" ca="1" si="28"/>
        <v>0.42421064091053284</v>
      </c>
      <c r="S135" cm="1">
        <f t="array" aca="1" ref="S135" ca="1">SUMPRODUCT(O134:R134*(B135:E135-B134:E134)/B134:E134)</f>
        <v>2.3017260990266463E-3</v>
      </c>
      <c r="T135">
        <f t="shared" ca="1" si="29"/>
        <v>1002.3017260990266</v>
      </c>
    </row>
    <row r="136" spans="1:20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20"/>
        <v>309968</v>
      </c>
      <c r="K136">
        <f t="shared" ca="1" si="21"/>
        <v>2660226</v>
      </c>
      <c r="L136">
        <f t="shared" ca="1" si="22"/>
        <v>1547000</v>
      </c>
      <c r="M136">
        <f t="shared" ca="1" si="23"/>
        <v>3276525</v>
      </c>
      <c r="N136">
        <f t="shared" ca="1" si="24"/>
        <v>7793719</v>
      </c>
      <c r="O136">
        <f t="shared" ca="1" si="25"/>
        <v>3.9771513445634878E-2</v>
      </c>
      <c r="P136">
        <f t="shared" ca="1" si="26"/>
        <v>0.34132947313086348</v>
      </c>
      <c r="Q136">
        <f t="shared" ca="1" si="27"/>
        <v>0.19849317123185992</v>
      </c>
      <c r="R136">
        <f t="shared" ca="1" si="28"/>
        <v>0.42040584219164173</v>
      </c>
      <c r="S136" cm="1">
        <f t="array" aca="1" ref="S136" ca="1">SUMPRODUCT(O135:R135*(B136:E136-B135:E135)/B135:E135)</f>
        <v>1.3695660006131292E-2</v>
      </c>
      <c r="T136">
        <f t="shared" ca="1" si="29"/>
        <v>1013.6956600061313</v>
      </c>
    </row>
    <row r="137" spans="1:20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20"/>
        <v>312160</v>
      </c>
      <c r="K137">
        <f t="shared" ca="1" si="21"/>
        <v>2627592</v>
      </c>
      <c r="L137">
        <f t="shared" ca="1" si="22"/>
        <v>1525375</v>
      </c>
      <c r="M137">
        <f t="shared" ca="1" si="23"/>
        <v>3318105</v>
      </c>
      <c r="N137">
        <f t="shared" ca="1" si="24"/>
        <v>7783232</v>
      </c>
      <c r="O137">
        <f t="shared" ca="1" si="25"/>
        <v>4.0106732010558081E-2</v>
      </c>
      <c r="P137">
        <f t="shared" ca="1" si="26"/>
        <v>0.33759651517518685</v>
      </c>
      <c r="Q137">
        <f t="shared" ca="1" si="27"/>
        <v>0.19598220893325549</v>
      </c>
      <c r="R137">
        <f t="shared" ca="1" si="28"/>
        <v>0.42631454388099954</v>
      </c>
      <c r="S137" cm="1">
        <f t="array" aca="1" ref="S137" ca="1">SUMPRODUCT(O136:R136*(B137:E137-B136:E136)/B136:E136)</f>
        <v>-1.3455707089260523E-3</v>
      </c>
      <c r="T137">
        <f t="shared" ca="1" si="29"/>
        <v>998.65442929107394</v>
      </c>
    </row>
    <row r="138" spans="1:20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20"/>
        <v>309008</v>
      </c>
      <c r="K138">
        <f t="shared" ca="1" si="21"/>
        <v>2566838</v>
      </c>
      <c r="L138">
        <f t="shared" ca="1" si="22"/>
        <v>1490000</v>
      </c>
      <c r="M138">
        <f t="shared" ca="1" si="23"/>
        <v>3176460</v>
      </c>
      <c r="N138">
        <f t="shared" ca="1" si="24"/>
        <v>7542306</v>
      </c>
      <c r="O138">
        <f t="shared" ca="1" si="25"/>
        <v>4.0969963297697018E-2</v>
      </c>
      <c r="P138">
        <f t="shared" ca="1" si="26"/>
        <v>0.34032535937947889</v>
      </c>
      <c r="Q138">
        <f t="shared" ca="1" si="27"/>
        <v>0.19755231357624578</v>
      </c>
      <c r="R138">
        <f t="shared" ca="1" si="28"/>
        <v>0.42115236374657833</v>
      </c>
      <c r="S138" cm="1">
        <f t="array" aca="1" ref="S138" ca="1">SUMPRODUCT(O137:R137*(B138:E138-B137:E137)/B137:E137)</f>
        <v>-3.0954492940721792E-2</v>
      </c>
      <c r="T138">
        <f t="shared" ca="1" si="29"/>
        <v>969.04550705927818</v>
      </c>
    </row>
    <row r="139" spans="1:20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20"/>
        <v>307104</v>
      </c>
      <c r="K139">
        <f t="shared" ca="1" si="21"/>
        <v>2543898</v>
      </c>
      <c r="L139">
        <f t="shared" ca="1" si="22"/>
        <v>1500250</v>
      </c>
      <c r="M139">
        <f t="shared" ca="1" si="23"/>
        <v>3089730</v>
      </c>
      <c r="N139">
        <f t="shared" ca="1" si="24"/>
        <v>7440982</v>
      </c>
      <c r="O139">
        <f t="shared" ca="1" si="25"/>
        <v>4.1271971898332774E-2</v>
      </c>
      <c r="P139">
        <f t="shared" ca="1" si="26"/>
        <v>0.34187665015182134</v>
      </c>
      <c r="Q139">
        <f t="shared" ca="1" si="27"/>
        <v>0.20161989371832911</v>
      </c>
      <c r="R139">
        <f t="shared" ca="1" si="28"/>
        <v>0.41523148423151673</v>
      </c>
      <c r="S139" cm="1">
        <f t="array" aca="1" ref="S139" ca="1">SUMPRODUCT(O138:R138*(B139:E139-B138:E138)/B138:E138)</f>
        <v>-1.3434087664966149E-2</v>
      </c>
      <c r="T139">
        <f t="shared" ca="1" si="29"/>
        <v>986.56591233503389</v>
      </c>
    </row>
    <row r="140" spans="1:20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20"/>
        <v>308400</v>
      </c>
      <c r="K140">
        <f t="shared" ca="1" si="21"/>
        <v>2553814</v>
      </c>
      <c r="L140">
        <f t="shared" ca="1" si="22"/>
        <v>1519125</v>
      </c>
      <c r="M140">
        <f t="shared" ca="1" si="23"/>
        <v>3061905</v>
      </c>
      <c r="N140">
        <f t="shared" ca="1" si="24"/>
        <v>7443244</v>
      </c>
      <c r="O140">
        <f t="shared" ca="1" si="25"/>
        <v>4.143354698569602E-2</v>
      </c>
      <c r="P140">
        <f t="shared" ca="1" si="26"/>
        <v>0.34310496874749774</v>
      </c>
      <c r="Q140">
        <f t="shared" ca="1" si="27"/>
        <v>0.20409447816032902</v>
      </c>
      <c r="R140">
        <f t="shared" ca="1" si="28"/>
        <v>0.41136700610647725</v>
      </c>
      <c r="S140" cm="1">
        <f t="array" aca="1" ref="S140" ca="1">SUMPRODUCT(O139:R139*(B140:E140-B139:E139)/B139:E139)</f>
        <v>3.0399213437158406E-4</v>
      </c>
      <c r="T140">
        <f t="shared" ca="1" si="29"/>
        <v>1000.3039921343715</v>
      </c>
    </row>
    <row r="141" spans="1:20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20"/>
        <v>309792</v>
      </c>
      <c r="K141">
        <f t="shared" ca="1" si="21"/>
        <v>2597252</v>
      </c>
      <c r="L141">
        <f t="shared" ca="1" si="22"/>
        <v>1527625</v>
      </c>
      <c r="M141">
        <f t="shared" ca="1" si="23"/>
        <v>3091935.0000000005</v>
      </c>
      <c r="N141">
        <f t="shared" ca="1" si="24"/>
        <v>7526604</v>
      </c>
      <c r="O141">
        <f t="shared" ca="1" si="25"/>
        <v>4.1159598671592128E-2</v>
      </c>
      <c r="P141">
        <f t="shared" ca="1" si="26"/>
        <v>0.34507621232630281</v>
      </c>
      <c r="Q141">
        <f t="shared" ca="1" si="27"/>
        <v>0.20296338162602948</v>
      </c>
      <c r="R141">
        <f t="shared" ca="1" si="28"/>
        <v>0.41080080737607566</v>
      </c>
      <c r="S141" cm="1">
        <f t="array" aca="1" ref="S141" ca="1">SUMPRODUCT(O140:R140*(B141:E141-B140:E140)/B140:E140)</f>
        <v>1.1199417888221867E-2</v>
      </c>
      <c r="T141">
        <f t="shared" ca="1" si="29"/>
        <v>1011.1994178882218</v>
      </c>
    </row>
    <row r="142" spans="1:20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20"/>
        <v>311200</v>
      </c>
      <c r="K142">
        <f t="shared" ca="1" si="21"/>
        <v>2499498</v>
      </c>
      <c r="L142">
        <f t="shared" ca="1" si="22"/>
        <v>1615875.0000000002</v>
      </c>
      <c r="M142">
        <f t="shared" ca="1" si="23"/>
        <v>3134985</v>
      </c>
      <c r="N142">
        <f t="shared" ca="1" si="24"/>
        <v>7561558</v>
      </c>
      <c r="O142">
        <f t="shared" ca="1" si="25"/>
        <v>4.1155539638788728E-2</v>
      </c>
      <c r="P142">
        <f t="shared" ca="1" si="26"/>
        <v>0.33055330660691884</v>
      </c>
      <c r="Q142">
        <f t="shared" ca="1" si="27"/>
        <v>0.21369603989019198</v>
      </c>
      <c r="R142">
        <f t="shared" ca="1" si="28"/>
        <v>0.41459511386410047</v>
      </c>
      <c r="S142" cm="1">
        <f t="array" aca="1" ref="S142" ca="1">SUMPRODUCT(O141:R141*(B142:E142-B141:E141)/B141:E141)</f>
        <v>4.6440599239709673E-3</v>
      </c>
      <c r="T142">
        <f t="shared" ca="1" si="29"/>
        <v>1004.644059923971</v>
      </c>
    </row>
    <row r="143" spans="1:20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20"/>
        <v>309152</v>
      </c>
      <c r="K143">
        <f t="shared" ca="1" si="21"/>
        <v>2447328</v>
      </c>
      <c r="L143">
        <f t="shared" ca="1" si="22"/>
        <v>1617500</v>
      </c>
      <c r="M143">
        <f t="shared" ca="1" si="23"/>
        <v>3272955</v>
      </c>
      <c r="N143">
        <f t="shared" ca="1" si="24"/>
        <v>7646935</v>
      </c>
      <c r="O143">
        <f t="shared" ca="1" si="25"/>
        <v>4.0428223857009379E-2</v>
      </c>
      <c r="P143">
        <f t="shared" ca="1" si="26"/>
        <v>0.32004038219234243</v>
      </c>
      <c r="Q143">
        <f t="shared" ca="1" si="27"/>
        <v>0.21152265580915752</v>
      </c>
      <c r="R143">
        <f t="shared" ca="1" si="28"/>
        <v>0.42800873814149065</v>
      </c>
      <c r="S143" cm="1">
        <f t="array" aca="1" ref="S143" ca="1">SUMPRODUCT(O142:R142*(B143:E143-B142:E142)/B142:E142)</f>
        <v>1.1290927081429532E-2</v>
      </c>
      <c r="T143">
        <f t="shared" ca="1" si="29"/>
        <v>1011.2909270814295</v>
      </c>
    </row>
    <row r="144" spans="1:20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20"/>
        <v>313328</v>
      </c>
      <c r="K144">
        <f t="shared" ca="1" si="21"/>
        <v>2503938</v>
      </c>
      <c r="L144">
        <f t="shared" ca="1" si="22"/>
        <v>1657250.0000000002</v>
      </c>
      <c r="M144">
        <f t="shared" ca="1" si="23"/>
        <v>3417540</v>
      </c>
      <c r="N144">
        <f t="shared" ca="1" si="24"/>
        <v>7892056</v>
      </c>
      <c r="O144">
        <f t="shared" ca="1" si="25"/>
        <v>3.9701694970233362E-2</v>
      </c>
      <c r="P144">
        <f t="shared" ca="1" si="26"/>
        <v>0.31727321752405202</v>
      </c>
      <c r="Q144">
        <f t="shared" ca="1" si="27"/>
        <v>0.20998964021542679</v>
      </c>
      <c r="R144">
        <f t="shared" ca="1" si="28"/>
        <v>0.43303544729028787</v>
      </c>
      <c r="S144" cm="1">
        <f t="array" aca="1" ref="S144" ca="1">SUMPRODUCT(O143:R143*(B144:E144-B143:E143)/B143:E143)</f>
        <v>3.2054803656628481E-2</v>
      </c>
      <c r="T144">
        <f t="shared" ca="1" si="29"/>
        <v>1032.0548036566283</v>
      </c>
    </row>
    <row r="145" spans="1:20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20"/>
        <v>314320</v>
      </c>
      <c r="K145">
        <f t="shared" ca="1" si="21"/>
        <v>2485808</v>
      </c>
      <c r="L145">
        <f t="shared" ca="1" si="22"/>
        <v>1659000</v>
      </c>
      <c r="M145">
        <f t="shared" ca="1" si="23"/>
        <v>3345300.0000000005</v>
      </c>
      <c r="N145">
        <f t="shared" ca="1" si="24"/>
        <v>7804428</v>
      </c>
      <c r="O145">
        <f t="shared" ca="1" si="25"/>
        <v>4.0274572332527125E-2</v>
      </c>
      <c r="P145">
        <f t="shared" ca="1" si="26"/>
        <v>0.318512516227967</v>
      </c>
      <c r="Q145">
        <f t="shared" ca="1" si="27"/>
        <v>0.21257163241175395</v>
      </c>
      <c r="R145">
        <f t="shared" ca="1" si="28"/>
        <v>0.42864127902775201</v>
      </c>
      <c r="S145" cm="1">
        <f t="array" aca="1" ref="S145" ca="1">SUMPRODUCT(O144:R144*(B145:E145-B144:E144)/B144:E144)</f>
        <v>-1.1103317057050796E-2</v>
      </c>
      <c r="T145">
        <f t="shared" ca="1" si="29"/>
        <v>988.89668294294916</v>
      </c>
    </row>
    <row r="146" spans="1:20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20"/>
        <v>312968</v>
      </c>
      <c r="K146">
        <f t="shared" ca="1" si="21"/>
        <v>2488916</v>
      </c>
      <c r="L146">
        <f t="shared" ca="1" si="22"/>
        <v>1644375.0000000002</v>
      </c>
      <c r="M146">
        <f t="shared" ca="1" si="23"/>
        <v>3388455</v>
      </c>
      <c r="N146">
        <f t="shared" ca="1" si="24"/>
        <v>7834714</v>
      </c>
      <c r="O146">
        <f t="shared" ca="1" si="25"/>
        <v>3.9946320950579692E-2</v>
      </c>
      <c r="P146">
        <f t="shared" ca="1" si="26"/>
        <v>0.31767796501569806</v>
      </c>
      <c r="Q146">
        <f t="shared" ca="1" si="27"/>
        <v>0.2098832197320796</v>
      </c>
      <c r="R146">
        <f t="shared" ca="1" si="28"/>
        <v>0.43249249430164266</v>
      </c>
      <c r="S146" cm="1">
        <f t="array" aca="1" ref="S146" ca="1">SUMPRODUCT(O145:R145*(B146:E146-B145:E145)/B145:E145)</f>
        <v>3.8806175161074465E-3</v>
      </c>
      <c r="T146">
        <f t="shared" ca="1" si="29"/>
        <v>1003.8806175161075</v>
      </c>
    </row>
    <row r="147" spans="1:20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20"/>
        <v>308128</v>
      </c>
      <c r="K147">
        <f t="shared" ca="1" si="21"/>
        <v>2423500</v>
      </c>
      <c r="L147">
        <f t="shared" ca="1" si="22"/>
        <v>1604750</v>
      </c>
      <c r="M147">
        <f t="shared" ca="1" si="23"/>
        <v>3300255</v>
      </c>
      <c r="N147">
        <f t="shared" ca="1" si="24"/>
        <v>7636633</v>
      </c>
      <c r="O147">
        <f t="shared" ca="1" si="25"/>
        <v>4.0348671986725038E-2</v>
      </c>
      <c r="P147">
        <f t="shared" ca="1" si="26"/>
        <v>0.31735190102758637</v>
      </c>
      <c r="Q147">
        <f t="shared" ca="1" si="27"/>
        <v>0.2101384209506991</v>
      </c>
      <c r="R147">
        <f t="shared" ca="1" si="28"/>
        <v>0.43216100603498953</v>
      </c>
      <c r="S147" cm="1">
        <f t="array" aca="1" ref="S147" ca="1">SUMPRODUCT(O146:R146*(B147:E147-B146:E146)/B146:E146)</f>
        <v>-2.5282479998631702E-2</v>
      </c>
      <c r="T147">
        <f t="shared" ca="1" si="29"/>
        <v>974.71752000136826</v>
      </c>
    </row>
    <row r="148" spans="1:20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20"/>
        <v>305872</v>
      </c>
      <c r="K148">
        <f t="shared" ca="1" si="21"/>
        <v>2417284</v>
      </c>
      <c r="L148">
        <f t="shared" ca="1" si="22"/>
        <v>1605624.9999999998</v>
      </c>
      <c r="M148">
        <f t="shared" ca="1" si="23"/>
        <v>3288495</v>
      </c>
      <c r="N148">
        <f t="shared" ca="1" si="24"/>
        <v>7617276</v>
      </c>
      <c r="O148">
        <f t="shared" ca="1" si="25"/>
        <v>4.0155037049990051E-2</v>
      </c>
      <c r="P148">
        <f t="shared" ca="1" si="26"/>
        <v>0.31734231502180044</v>
      </c>
      <c r="Q148">
        <f t="shared" ca="1" si="27"/>
        <v>0.21078729456566886</v>
      </c>
      <c r="R148">
        <f t="shared" ca="1" si="28"/>
        <v>0.43171535336254063</v>
      </c>
      <c r="S148" cm="1">
        <f t="array" aca="1" ref="S148" ca="1">SUMPRODUCT(O147:R147*(B148:E148-B147:E147)/B147:E147)</f>
        <v>-2.5347558276009844E-3</v>
      </c>
      <c r="T148">
        <f t="shared" ca="1" si="29"/>
        <v>997.46524417239903</v>
      </c>
    </row>
    <row r="149" spans="1:20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20"/>
        <v>291184</v>
      </c>
      <c r="K149">
        <f t="shared" ca="1" si="21"/>
        <v>2425572</v>
      </c>
      <c r="L149">
        <f t="shared" ca="1" si="22"/>
        <v>1601375.0000000002</v>
      </c>
      <c r="M149">
        <f t="shared" ca="1" si="23"/>
        <v>3262665</v>
      </c>
      <c r="N149">
        <f t="shared" ca="1" si="24"/>
        <v>7580796</v>
      </c>
      <c r="O149">
        <f t="shared" ca="1" si="25"/>
        <v>3.8410742090936097E-2</v>
      </c>
      <c r="P149">
        <f t="shared" ca="1" si="26"/>
        <v>0.31996270576335256</v>
      </c>
      <c r="Q149">
        <f t="shared" ca="1" si="27"/>
        <v>0.21124100951931701</v>
      </c>
      <c r="R149">
        <f t="shared" ca="1" si="28"/>
        <v>0.43038554262639439</v>
      </c>
      <c r="S149" cm="1">
        <f t="array" aca="1" ref="S149" ca="1">SUMPRODUCT(O148:R148*(B149:E149-B148:E148)/B148:E148)</f>
        <v>-4.7891135886371748E-3</v>
      </c>
      <c r="T149">
        <f t="shared" ca="1" si="29"/>
        <v>995.21088641136282</v>
      </c>
    </row>
    <row r="150" spans="1:20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20"/>
        <v>286160</v>
      </c>
      <c r="K150">
        <f t="shared" ca="1" si="21"/>
        <v>2442814</v>
      </c>
      <c r="L150">
        <f t="shared" ca="1" si="22"/>
        <v>1644125</v>
      </c>
      <c r="M150">
        <f t="shared" ca="1" si="23"/>
        <v>3323880</v>
      </c>
      <c r="N150">
        <f t="shared" ca="1" si="24"/>
        <v>7696979</v>
      </c>
      <c r="O150">
        <f t="shared" ca="1" si="25"/>
        <v>3.7178222780651991E-2</v>
      </c>
      <c r="P150">
        <f t="shared" ca="1" si="26"/>
        <v>0.31737308884433751</v>
      </c>
      <c r="Q150">
        <f t="shared" ca="1" si="27"/>
        <v>0.21360653316060757</v>
      </c>
      <c r="R150">
        <f t="shared" ca="1" si="28"/>
        <v>0.43184215521440295</v>
      </c>
      <c r="S150" cm="1">
        <f t="array" aca="1" ref="S150" ca="1">SUMPRODUCT(O149:R149*(B150:E150-B149:E149)/B149:E149)</f>
        <v>1.5325963131048502E-2</v>
      </c>
      <c r="T150">
        <f t="shared" ca="1" si="29"/>
        <v>1015.3259631310485</v>
      </c>
    </row>
    <row r="151" spans="1:20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20"/>
        <v>287680</v>
      </c>
      <c r="K151">
        <f t="shared" ca="1" si="21"/>
        <v>2412770</v>
      </c>
      <c r="L151">
        <f t="shared" ca="1" si="22"/>
        <v>1642500</v>
      </c>
      <c r="M151">
        <f t="shared" ca="1" si="23"/>
        <v>3282720</v>
      </c>
      <c r="N151">
        <f t="shared" ca="1" si="24"/>
        <v>7625670</v>
      </c>
      <c r="O151">
        <f t="shared" ca="1" si="25"/>
        <v>3.7725209719277127E-2</v>
      </c>
      <c r="P151">
        <f t="shared" ca="1" si="26"/>
        <v>0.31640105066177793</v>
      </c>
      <c r="Q151">
        <f t="shared" ca="1" si="27"/>
        <v>0.21539090991348958</v>
      </c>
      <c r="R151">
        <f t="shared" ca="1" si="28"/>
        <v>0.43048282970545537</v>
      </c>
      <c r="S151" cm="1">
        <f t="array" aca="1" ref="S151" ca="1">SUMPRODUCT(O150:R150*(B151:E151-B150:E150)/B150:E150)</f>
        <v>-9.2645439204134625E-3</v>
      </c>
      <c r="T151">
        <f t="shared" ca="1" si="29"/>
        <v>990.73545607958658</v>
      </c>
    </row>
    <row r="152" spans="1:20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20"/>
        <v>285104</v>
      </c>
      <c r="K152">
        <f t="shared" ca="1" si="21"/>
        <v>2384502</v>
      </c>
      <c r="L152">
        <f t="shared" ca="1" si="22"/>
        <v>1620750</v>
      </c>
      <c r="M152">
        <f t="shared" ca="1" si="23"/>
        <v>3204705</v>
      </c>
      <c r="N152">
        <f t="shared" ca="1" si="24"/>
        <v>7495061</v>
      </c>
      <c r="O152">
        <f t="shared" ca="1" si="25"/>
        <v>3.803891656118609E-2</v>
      </c>
      <c r="P152">
        <f t="shared" ca="1" si="26"/>
        <v>0.31814310784128375</v>
      </c>
      <c r="Q152">
        <f t="shared" ca="1" si="27"/>
        <v>0.21624240283034388</v>
      </c>
      <c r="R152">
        <f t="shared" ca="1" si="28"/>
        <v>0.42757557276718627</v>
      </c>
      <c r="S152" cm="1">
        <f t="array" aca="1" ref="S152" ca="1">SUMPRODUCT(O151:R151*(B152:E152-B151:E151)/B151:E151)</f>
        <v>-1.7127544202673359E-2</v>
      </c>
      <c r="T152">
        <f t="shared" ca="1" si="29"/>
        <v>982.87245579732667</v>
      </c>
    </row>
    <row r="153" spans="1:20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20"/>
        <v>284752</v>
      </c>
      <c r="K153">
        <f t="shared" ca="1" si="21"/>
        <v>2389682</v>
      </c>
      <c r="L153">
        <f t="shared" ca="1" si="22"/>
        <v>1621125</v>
      </c>
      <c r="M153">
        <f t="shared" ca="1" si="23"/>
        <v>3210270</v>
      </c>
      <c r="N153">
        <f t="shared" ca="1" si="24"/>
        <v>7505829</v>
      </c>
      <c r="O153">
        <f t="shared" ca="1" si="25"/>
        <v>3.7937448348476899E-2</v>
      </c>
      <c r="P153">
        <f t="shared" ca="1" si="26"/>
        <v>0.31837682419889929</v>
      </c>
      <c r="Q153">
        <f t="shared" ca="1" si="27"/>
        <v>0.21598213868181648</v>
      </c>
      <c r="R153">
        <f t="shared" ca="1" si="28"/>
        <v>0.42770358877080733</v>
      </c>
      <c r="S153" cm="1">
        <f t="array" aca="1" ref="S153" ca="1">SUMPRODUCT(O152:R152*(B153:E153-B152:E152)/B152:E152)</f>
        <v>1.4366794346303844E-3</v>
      </c>
      <c r="T153">
        <f t="shared" ca="1" si="29"/>
        <v>1001.4366794346304</v>
      </c>
    </row>
    <row r="154" spans="1:20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20"/>
        <v>284464</v>
      </c>
      <c r="K154">
        <f t="shared" ca="1" si="21"/>
        <v>2375474</v>
      </c>
      <c r="L154">
        <f t="shared" ca="1" si="22"/>
        <v>1619500</v>
      </c>
      <c r="M154">
        <f t="shared" ca="1" si="23"/>
        <v>3167220</v>
      </c>
      <c r="N154">
        <f t="shared" ca="1" si="24"/>
        <v>7446658</v>
      </c>
      <c r="O154">
        <f t="shared" ca="1" si="25"/>
        <v>3.8200223509660305E-2</v>
      </c>
      <c r="P154">
        <f t="shared" ca="1" si="26"/>
        <v>0.3189986702759815</v>
      </c>
      <c r="Q154">
        <f t="shared" ca="1" si="27"/>
        <v>0.21748010986942062</v>
      </c>
      <c r="R154">
        <f t="shared" ca="1" si="28"/>
        <v>0.42532099634493753</v>
      </c>
      <c r="S154" cm="1">
        <f t="array" aca="1" ref="S154" ca="1">SUMPRODUCT(O153:R153*(B154:E154-B153:E153)/B153:E153)</f>
        <v>-7.8833397350246467E-3</v>
      </c>
      <c r="T154">
        <f t="shared" ca="1" si="29"/>
        <v>992.11666026497539</v>
      </c>
    </row>
    <row r="155" spans="1:20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20"/>
        <v>287136</v>
      </c>
      <c r="K155">
        <f t="shared" ca="1" si="21"/>
        <v>2397896</v>
      </c>
      <c r="L155">
        <f t="shared" ca="1" si="22"/>
        <v>1641625.0000000002</v>
      </c>
      <c r="M155">
        <f t="shared" ca="1" si="23"/>
        <v>3214995</v>
      </c>
      <c r="N155">
        <f t="shared" ca="1" si="24"/>
        <v>7541652</v>
      </c>
      <c r="O155">
        <f t="shared" ca="1" si="25"/>
        <v>3.8073355811167102E-2</v>
      </c>
      <c r="P155">
        <f t="shared" ca="1" si="26"/>
        <v>0.31795367911433731</v>
      </c>
      <c r="Q155">
        <f t="shared" ca="1" si="27"/>
        <v>0.21767445647187117</v>
      </c>
      <c r="R155">
        <f t="shared" ca="1" si="28"/>
        <v>0.42629850860262447</v>
      </c>
      <c r="S155" cm="1">
        <f t="array" aca="1" ref="S155" ca="1">SUMPRODUCT(O154:R154*(B155:E155-B154:E154)/B154:E154)</f>
        <v>1.2756594971865298E-2</v>
      </c>
      <c r="T155">
        <f t="shared" ca="1" si="29"/>
        <v>1012.7565949718653</v>
      </c>
    </row>
    <row r="156" spans="1:20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20"/>
        <v>283920</v>
      </c>
      <c r="K156">
        <f t="shared" ca="1" si="21"/>
        <v>2381764</v>
      </c>
      <c r="L156">
        <f t="shared" ca="1" si="22"/>
        <v>1622250</v>
      </c>
      <c r="M156">
        <f t="shared" ca="1" si="23"/>
        <v>3170475</v>
      </c>
      <c r="N156">
        <f t="shared" ca="1" si="24"/>
        <v>7458409</v>
      </c>
      <c r="O156">
        <f t="shared" ca="1" si="25"/>
        <v>3.8067099833221804E-2</v>
      </c>
      <c r="P156">
        <f t="shared" ca="1" si="26"/>
        <v>0.31933941943918603</v>
      </c>
      <c r="Q156">
        <f t="shared" ca="1" si="27"/>
        <v>0.21750617323346039</v>
      </c>
      <c r="R156">
        <f t="shared" ca="1" si="28"/>
        <v>0.42508730749413182</v>
      </c>
      <c r="S156" cm="1">
        <f t="array" aca="1" ref="S156" ca="1">SUMPRODUCT(O155:R155*(B156:E156-B155:E155)/B155:E155)</f>
        <v>-1.1037767322066879E-2</v>
      </c>
      <c r="T156">
        <f t="shared" ca="1" si="29"/>
        <v>988.96223267793312</v>
      </c>
    </row>
    <row r="157" spans="1:20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20"/>
        <v>282512</v>
      </c>
      <c r="K157">
        <f t="shared" ca="1" si="21"/>
        <v>2370960</v>
      </c>
      <c r="L157">
        <f t="shared" ca="1" si="22"/>
        <v>1608749.9999999998</v>
      </c>
      <c r="M157">
        <f t="shared" ca="1" si="23"/>
        <v>3090045</v>
      </c>
      <c r="N157">
        <f t="shared" ca="1" si="24"/>
        <v>7352267</v>
      </c>
      <c r="O157">
        <f t="shared" ca="1" si="25"/>
        <v>3.842515512562316E-2</v>
      </c>
      <c r="P157">
        <f t="shared" ca="1" si="26"/>
        <v>0.32248012755793554</v>
      </c>
      <c r="Q157">
        <f t="shared" ca="1" si="27"/>
        <v>0.21881006225698818</v>
      </c>
      <c r="R157">
        <f t="shared" ca="1" si="28"/>
        <v>0.42028465505945312</v>
      </c>
      <c r="S157" cm="1">
        <f t="array" aca="1" ref="S157" ca="1">SUMPRODUCT(O156:R156*(B157:E157-B156:E156)/B156:E156)</f>
        <v>-1.423118522998673E-2</v>
      </c>
      <c r="T157">
        <f t="shared" ca="1" si="29"/>
        <v>985.76881477001336</v>
      </c>
    </row>
    <row r="158" spans="1:20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20"/>
        <v>278400</v>
      </c>
      <c r="K158">
        <f t="shared" ca="1" si="21"/>
        <v>2344912</v>
      </c>
      <c r="L158">
        <f t="shared" ca="1" si="22"/>
        <v>1623999.9999999998</v>
      </c>
      <c r="M158">
        <f t="shared" ca="1" si="23"/>
        <v>2993444.9999999995</v>
      </c>
      <c r="N158">
        <f t="shared" ca="1" si="24"/>
        <v>7240757</v>
      </c>
      <c r="O158">
        <f t="shared" ca="1" si="25"/>
        <v>3.8449018521129766E-2</v>
      </c>
      <c r="P158">
        <f t="shared" ca="1" si="26"/>
        <v>0.32384901191961007</v>
      </c>
      <c r="Q158">
        <f t="shared" ca="1" si="27"/>
        <v>0.22428594137325694</v>
      </c>
      <c r="R158">
        <f t="shared" ca="1" si="28"/>
        <v>0.41341602818600315</v>
      </c>
      <c r="S158" cm="1">
        <f t="array" aca="1" ref="S158" ca="1">SUMPRODUCT(O157:R157*(B158:E158-B157:E157)/B157:E157)</f>
        <v>-1.5166750609029889E-2</v>
      </c>
      <c r="T158">
        <f t="shared" ca="1" si="29"/>
        <v>984.8332493909702</v>
      </c>
    </row>
    <row r="159" spans="1:20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20"/>
        <v>279184</v>
      </c>
      <c r="K159">
        <f t="shared" ca="1" si="21"/>
        <v>2341952</v>
      </c>
      <c r="L159">
        <f t="shared" ca="1" si="22"/>
        <v>1593250</v>
      </c>
      <c r="M159">
        <f t="shared" ca="1" si="23"/>
        <v>2974125</v>
      </c>
      <c r="N159">
        <f t="shared" ca="1" si="24"/>
        <v>7188511</v>
      </c>
      <c r="O159">
        <f t="shared" ca="1" si="25"/>
        <v>3.8837528383833593E-2</v>
      </c>
      <c r="P159">
        <f t="shared" ca="1" si="26"/>
        <v>0.32579097395830653</v>
      </c>
      <c r="Q159">
        <f t="shared" ca="1" si="27"/>
        <v>0.22163838936881367</v>
      </c>
      <c r="R159">
        <f t="shared" ca="1" si="28"/>
        <v>0.41373310828904625</v>
      </c>
      <c r="S159" cm="1">
        <f t="array" aca="1" ref="S159" ca="1">SUMPRODUCT(O158:R158*(B159:E159-B158:E158)/B158:E158)</f>
        <v>-7.2155438996225774E-3</v>
      </c>
      <c r="T159">
        <f t="shared" ca="1" si="29"/>
        <v>992.7844561003775</v>
      </c>
    </row>
    <row r="160" spans="1:20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20"/>
        <v>281344</v>
      </c>
      <c r="K160">
        <f t="shared" ca="1" si="21"/>
        <v>2381912</v>
      </c>
      <c r="L160">
        <f t="shared" ca="1" si="22"/>
        <v>1604625</v>
      </c>
      <c r="M160">
        <f t="shared" ca="1" si="23"/>
        <v>3043949.9999999995</v>
      </c>
      <c r="N160">
        <f t="shared" ca="1" si="24"/>
        <v>7311831</v>
      </c>
      <c r="O160">
        <f t="shared" ca="1" si="25"/>
        <v>3.8477913398162512E-2</v>
      </c>
      <c r="P160">
        <f t="shared" ca="1" si="26"/>
        <v>0.32576135854343463</v>
      </c>
      <c r="Q160">
        <f t="shared" ca="1" si="27"/>
        <v>0.21945597484405752</v>
      </c>
      <c r="R160">
        <f t="shared" ca="1" si="28"/>
        <v>0.41630475321434529</v>
      </c>
      <c r="S160" cm="1">
        <f t="array" aca="1" ref="S160" ca="1">SUMPRODUCT(O159:R159*(B160:E160-B159:E159)/B159:E159)</f>
        <v>1.715515215877109E-2</v>
      </c>
      <c r="T160">
        <f t="shared" ca="1" si="29"/>
        <v>1017.1551521587712</v>
      </c>
    </row>
    <row r="161" spans="1:20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20"/>
        <v>283568</v>
      </c>
      <c r="K161">
        <f t="shared" ca="1" si="21"/>
        <v>2386204</v>
      </c>
      <c r="L161">
        <f t="shared" ca="1" si="22"/>
        <v>1613500.0000000002</v>
      </c>
      <c r="M161">
        <f t="shared" ca="1" si="23"/>
        <v>3019800.0000000005</v>
      </c>
      <c r="N161">
        <f t="shared" ca="1" si="24"/>
        <v>7303072</v>
      </c>
      <c r="O161">
        <f t="shared" ca="1" si="25"/>
        <v>3.8828591584472945E-2</v>
      </c>
      <c r="P161">
        <f t="shared" ca="1" si="26"/>
        <v>0.32673976102111552</v>
      </c>
      <c r="Q161">
        <f t="shared" ca="1" si="27"/>
        <v>0.22093442321258783</v>
      </c>
      <c r="R161">
        <f t="shared" ca="1" si="28"/>
        <v>0.41349722418182383</v>
      </c>
      <c r="S161" cm="1">
        <f t="array" aca="1" ref="S161" ca="1">SUMPRODUCT(O160:R160*(B161:E161-B160:E160)/B160:E160)</f>
        <v>-1.1979215602767024E-3</v>
      </c>
      <c r="T161">
        <f t="shared" ca="1" si="29"/>
        <v>998.80207843972335</v>
      </c>
    </row>
    <row r="162" spans="1:20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20"/>
        <v>289792</v>
      </c>
      <c r="K162">
        <f t="shared" ca="1" si="21"/>
        <v>2419800</v>
      </c>
      <c r="L162">
        <f t="shared" ca="1" si="22"/>
        <v>1654625</v>
      </c>
      <c r="M162">
        <f t="shared" ca="1" si="23"/>
        <v>3089520</v>
      </c>
      <c r="N162">
        <f t="shared" ca="1" si="24"/>
        <v>7453737</v>
      </c>
      <c r="O162">
        <f t="shared" ca="1" si="25"/>
        <v>3.8878753033545453E-2</v>
      </c>
      <c r="P162">
        <f t="shared" ca="1" si="26"/>
        <v>0.32464252495090717</v>
      </c>
      <c r="Q162">
        <f t="shared" ca="1" si="27"/>
        <v>0.22198596489250963</v>
      </c>
      <c r="R162">
        <f t="shared" ca="1" si="28"/>
        <v>0.41449275712303774</v>
      </c>
      <c r="S162" cm="1">
        <f t="array" aca="1" ref="S162" ca="1">SUMPRODUCT(O161:R161*(B162:E162-B161:E161)/B161:E161)</f>
        <v>2.0630359388487465E-2</v>
      </c>
      <c r="T162">
        <f t="shared" ca="1" si="29"/>
        <v>1020.6303593884876</v>
      </c>
    </row>
    <row r="163" spans="1:20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20"/>
        <v>282208</v>
      </c>
      <c r="K163">
        <f t="shared" ca="1" si="21"/>
        <v>2367778</v>
      </c>
      <c r="L163">
        <f t="shared" ca="1" si="22"/>
        <v>1622250</v>
      </c>
      <c r="M163">
        <f t="shared" ca="1" si="23"/>
        <v>3010875</v>
      </c>
      <c r="N163">
        <f t="shared" ca="1" si="24"/>
        <v>7283111</v>
      </c>
      <c r="O163">
        <f t="shared" ca="1" si="25"/>
        <v>3.874827666364003E-2</v>
      </c>
      <c r="P163">
        <f t="shared" ca="1" si="26"/>
        <v>0.32510530184147957</v>
      </c>
      <c r="Q163">
        <f t="shared" ca="1" si="27"/>
        <v>0.22274135324863234</v>
      </c>
      <c r="R163">
        <f t="shared" ca="1" si="28"/>
        <v>0.41340506824624806</v>
      </c>
      <c r="S163" cm="1">
        <f t="array" aca="1" ref="S163" ca="1">SUMPRODUCT(O162:R162*(B163:E163-B162:E162)/B162:E162)</f>
        <v>-2.2891336251869357E-2</v>
      </c>
      <c r="T163">
        <f t="shared" ca="1" si="29"/>
        <v>977.10866374813065</v>
      </c>
    </row>
    <row r="164" spans="1:20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20"/>
        <v>285776</v>
      </c>
      <c r="K164">
        <f t="shared" ca="1" si="21"/>
        <v>2390052</v>
      </c>
      <c r="L164">
        <f t="shared" ca="1" si="22"/>
        <v>1623500</v>
      </c>
      <c r="M164">
        <f t="shared" ca="1" si="23"/>
        <v>2997750</v>
      </c>
      <c r="N164">
        <f t="shared" ca="1" si="24"/>
        <v>7297078</v>
      </c>
      <c r="O164">
        <f t="shared" ca="1" si="25"/>
        <v>3.9163073219170744E-2</v>
      </c>
      <c r="P164">
        <f t="shared" ca="1" si="26"/>
        <v>0.32753548749239081</v>
      </c>
      <c r="Q164">
        <f t="shared" ca="1" si="27"/>
        <v>0.22248631575542976</v>
      </c>
      <c r="R164">
        <f t="shared" ca="1" si="28"/>
        <v>0.4108151235330087</v>
      </c>
      <c r="S164" cm="1">
        <f t="array" aca="1" ref="S164" ca="1">SUMPRODUCT(O163:R163*(B164:E164-B163:E163)/B163:E163)</f>
        <v>1.9177244449521489E-3</v>
      </c>
      <c r="T164">
        <f t="shared" ca="1" si="29"/>
        <v>1001.9177244449522</v>
      </c>
    </row>
    <row r="165" spans="1:20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20"/>
        <v>288304</v>
      </c>
      <c r="K165">
        <f t="shared" ca="1" si="21"/>
        <v>2395380</v>
      </c>
      <c r="L165">
        <f t="shared" ca="1" si="22"/>
        <v>1637625</v>
      </c>
      <c r="M165">
        <f t="shared" ca="1" si="23"/>
        <v>3047730</v>
      </c>
      <c r="N165">
        <f t="shared" ca="1" si="24"/>
        <v>7369039</v>
      </c>
      <c r="O165">
        <f t="shared" ca="1" si="25"/>
        <v>3.9123690348225867E-2</v>
      </c>
      <c r="P165">
        <f t="shared" ca="1" si="26"/>
        <v>0.32506002478749263</v>
      </c>
      <c r="Q165">
        <f t="shared" ca="1" si="27"/>
        <v>0.2222304699432314</v>
      </c>
      <c r="R165">
        <f t="shared" ca="1" si="28"/>
        <v>0.41358581492105007</v>
      </c>
      <c r="S165" cm="1">
        <f t="array" aca="1" ref="S165" ca="1">SUMPRODUCT(O164:R164*(B165:E165-B164:E164)/B164:E164)</f>
        <v>9.8616185821228178E-3</v>
      </c>
      <c r="T165">
        <f t="shared" ca="1" si="29"/>
        <v>1009.8616185821228</v>
      </c>
    </row>
    <row r="166" spans="1:20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20"/>
        <v>294592</v>
      </c>
      <c r="K166">
        <f t="shared" ca="1" si="21"/>
        <v>2430234</v>
      </c>
      <c r="L166">
        <f t="shared" ca="1" si="22"/>
        <v>1682125</v>
      </c>
      <c r="M166">
        <f t="shared" ca="1" si="23"/>
        <v>3128895</v>
      </c>
      <c r="N166">
        <f t="shared" ca="1" si="24"/>
        <v>7535846</v>
      </c>
      <c r="O166">
        <f t="shared" ca="1" si="25"/>
        <v>3.9092093973257948E-2</v>
      </c>
      <c r="P166">
        <f t="shared" ca="1" si="26"/>
        <v>0.32248987041401855</v>
      </c>
      <c r="Q166">
        <f t="shared" ca="1" si="27"/>
        <v>0.2232164776191021</v>
      </c>
      <c r="R166">
        <f t="shared" ca="1" si="28"/>
        <v>0.41520155799362141</v>
      </c>
      <c r="S166" cm="1">
        <f t="array" aca="1" ref="S166" ca="1">SUMPRODUCT(O165:R165*(B166:E166-B165:E165)/B165:E165)</f>
        <v>2.2636194488860825E-2</v>
      </c>
      <c r="T166">
        <f t="shared" ca="1" si="29"/>
        <v>1022.6361944888608</v>
      </c>
    </row>
    <row r="167" spans="1:20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20"/>
        <v>300240</v>
      </c>
      <c r="K167">
        <f t="shared" ca="1" si="21"/>
        <v>2433046</v>
      </c>
      <c r="L167">
        <f t="shared" ca="1" si="22"/>
        <v>1698500</v>
      </c>
      <c r="M167">
        <f t="shared" ca="1" si="23"/>
        <v>3098550.0000000005</v>
      </c>
      <c r="N167">
        <f t="shared" ca="1" si="24"/>
        <v>7530336</v>
      </c>
      <c r="O167">
        <f t="shared" ca="1" si="25"/>
        <v>3.9870730867785982E-2</v>
      </c>
      <c r="P167">
        <f t="shared" ca="1" si="26"/>
        <v>0.32309926144065815</v>
      </c>
      <c r="Q167">
        <f t="shared" ca="1" si="27"/>
        <v>0.22555434445421824</v>
      </c>
      <c r="R167">
        <f t="shared" ca="1" si="28"/>
        <v>0.4114756632373377</v>
      </c>
      <c r="S167" cm="1">
        <f t="array" aca="1" ref="S167" ca="1">SUMPRODUCT(O166:R166*(B167:E167-B166:E166)/B166:E166)</f>
        <v>-7.3117205420597173E-4</v>
      </c>
      <c r="T167">
        <f t="shared" ca="1" si="29"/>
        <v>999.2688279457941</v>
      </c>
    </row>
    <row r="168" spans="1:20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20"/>
        <v>300592</v>
      </c>
      <c r="K168">
        <f t="shared" ca="1" si="21"/>
        <v>2425424</v>
      </c>
      <c r="L168">
        <f t="shared" ca="1" si="22"/>
        <v>1702124.9999999998</v>
      </c>
      <c r="M168">
        <f t="shared" ca="1" si="23"/>
        <v>3106845</v>
      </c>
      <c r="N168">
        <f t="shared" ca="1" si="24"/>
        <v>7534986</v>
      </c>
      <c r="O168">
        <f t="shared" ca="1" si="25"/>
        <v>3.9892841207667805E-2</v>
      </c>
      <c r="P168">
        <f t="shared" ca="1" si="26"/>
        <v>0.32188832202209799</v>
      </c>
      <c r="Q168">
        <f t="shared" ca="1" si="27"/>
        <v>0.22589623922327126</v>
      </c>
      <c r="R168">
        <f t="shared" ca="1" si="28"/>
        <v>0.41232259754696293</v>
      </c>
      <c r="S168" cm="1">
        <f t="array" aca="1" ref="S168" ca="1">SUMPRODUCT(O167:R167*(B168:E168-B167:E167)/B167:E167)</f>
        <v>6.1750232658931822E-4</v>
      </c>
      <c r="T168">
        <f t="shared" ca="1" si="29"/>
        <v>1000.6175023265893</v>
      </c>
    </row>
    <row r="169" spans="1:20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20"/>
        <v>303136</v>
      </c>
      <c r="K169">
        <f t="shared" ca="1" si="21"/>
        <v>2432084</v>
      </c>
      <c r="L169">
        <f t="shared" ca="1" si="22"/>
        <v>1695750</v>
      </c>
      <c r="M169">
        <f t="shared" ca="1" si="23"/>
        <v>3111990</v>
      </c>
      <c r="N169">
        <f t="shared" ca="1" si="24"/>
        <v>7542960</v>
      </c>
      <c r="O169">
        <f t="shared" ca="1" si="25"/>
        <v>4.0187936831164423E-2</v>
      </c>
      <c r="P169">
        <f t="shared" ca="1" si="26"/>
        <v>0.32243098200176057</v>
      </c>
      <c r="Q169">
        <f t="shared" ca="1" si="27"/>
        <v>0.22481227528715517</v>
      </c>
      <c r="R169">
        <f t="shared" ca="1" si="28"/>
        <v>0.41256880587991984</v>
      </c>
      <c r="S169" cm="1">
        <f t="array" aca="1" ref="S169" ca="1">SUMPRODUCT(O168:R168*(B169:E169-B168:E168)/B168:E168)</f>
        <v>1.0582634128318844E-3</v>
      </c>
      <c r="T169">
        <f t="shared" ca="1" si="29"/>
        <v>1001.058263412832</v>
      </c>
    </row>
    <row r="170" spans="1:20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20"/>
        <v>303520</v>
      </c>
      <c r="K170">
        <f t="shared" ca="1" si="21"/>
        <v>2468270</v>
      </c>
      <c r="L170">
        <f t="shared" ca="1" si="22"/>
        <v>1697125.0000000002</v>
      </c>
      <c r="M170">
        <f t="shared" ca="1" si="23"/>
        <v>3151574.9999999995</v>
      </c>
      <c r="N170">
        <f t="shared" ca="1" si="24"/>
        <v>7620490</v>
      </c>
      <c r="O170">
        <f t="shared" ca="1" si="25"/>
        <v>3.9829459785394379E-2</v>
      </c>
      <c r="P170">
        <f t="shared" ca="1" si="26"/>
        <v>0.32389911934796844</v>
      </c>
      <c r="Q170">
        <f t="shared" ca="1" si="27"/>
        <v>0.22270549531591805</v>
      </c>
      <c r="R170">
        <f t="shared" ca="1" si="28"/>
        <v>0.41356592555071914</v>
      </c>
      <c r="S170" cm="1">
        <f t="array" aca="1" ref="S170" ca="1">SUMPRODUCT(O169:R169*(B170:E170-B169:E169)/B169:E169)</f>
        <v>1.0278458324053137E-2</v>
      </c>
      <c r="T170">
        <f t="shared" ca="1" si="29"/>
        <v>1010.2784583240532</v>
      </c>
    </row>
    <row r="171" spans="1:20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20"/>
        <v>292656</v>
      </c>
      <c r="K171">
        <f t="shared" ca="1" si="21"/>
        <v>2463312</v>
      </c>
      <c r="L171">
        <f t="shared" ca="1" si="22"/>
        <v>1680750</v>
      </c>
      <c r="M171">
        <f t="shared" ca="1" si="23"/>
        <v>3141285</v>
      </c>
      <c r="N171">
        <f t="shared" ca="1" si="24"/>
        <v>7578003</v>
      </c>
      <c r="O171">
        <f t="shared" ca="1" si="25"/>
        <v>3.8619145439768236E-2</v>
      </c>
      <c r="P171">
        <f t="shared" ca="1" si="26"/>
        <v>0.32506083726807711</v>
      </c>
      <c r="Q171">
        <f t="shared" ca="1" si="27"/>
        <v>0.22179326136450461</v>
      </c>
      <c r="R171">
        <f t="shared" ca="1" si="28"/>
        <v>0.41452675592765009</v>
      </c>
      <c r="S171" cm="1">
        <f t="array" aca="1" ref="S171" ca="1">SUMPRODUCT(O170:R170*(B171:E171-B170:E170)/B170:E170)</f>
        <v>-5.5753632640420416E-3</v>
      </c>
      <c r="T171">
        <f t="shared" ca="1" si="29"/>
        <v>994.42463673595796</v>
      </c>
    </row>
    <row r="172" spans="1:20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20"/>
        <v>284096</v>
      </c>
      <c r="K172">
        <f t="shared" ca="1" si="21"/>
        <v>2441334</v>
      </c>
      <c r="L172">
        <f t="shared" ca="1" si="22"/>
        <v>1690750</v>
      </c>
      <c r="M172">
        <f t="shared" ca="1" si="23"/>
        <v>3136035</v>
      </c>
      <c r="N172">
        <f t="shared" ca="1" si="24"/>
        <v>7552215</v>
      </c>
      <c r="O172">
        <f t="shared" ca="1" si="25"/>
        <v>3.7617573122587213E-2</v>
      </c>
      <c r="P172">
        <f t="shared" ca="1" si="26"/>
        <v>0.32326065929002284</v>
      </c>
      <c r="Q172">
        <f t="shared" ca="1" si="27"/>
        <v>0.22387471754975197</v>
      </c>
      <c r="R172">
        <f t="shared" ca="1" si="28"/>
        <v>0.41524705003763795</v>
      </c>
      <c r="S172" cm="1">
        <f t="array" aca="1" ref="S172" ca="1">SUMPRODUCT(O171:R171*(B172:E172-B171:E171)/B171:E171)</f>
        <v>-3.4030073622298624E-3</v>
      </c>
      <c r="T172">
        <f t="shared" ca="1" si="29"/>
        <v>996.59699263777009</v>
      </c>
    </row>
    <row r="173" spans="1:20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20"/>
        <v>285088</v>
      </c>
      <c r="K173">
        <f t="shared" ca="1" si="21"/>
        <v>2473598</v>
      </c>
      <c r="L173">
        <f t="shared" ca="1" si="22"/>
        <v>1704750</v>
      </c>
      <c r="M173">
        <f t="shared" ca="1" si="23"/>
        <v>3127845</v>
      </c>
      <c r="N173">
        <f t="shared" ca="1" si="24"/>
        <v>7591281</v>
      </c>
      <c r="O173">
        <f t="shared" ca="1" si="25"/>
        <v>3.7554663040401219E-2</v>
      </c>
      <c r="P173">
        <f t="shared" ca="1" si="26"/>
        <v>0.32584724501701362</v>
      </c>
      <c r="Q173">
        <f t="shared" ca="1" si="27"/>
        <v>0.22456684188083673</v>
      </c>
      <c r="R173">
        <f t="shared" ca="1" si="28"/>
        <v>0.41203125006174846</v>
      </c>
      <c r="S173" cm="1">
        <f t="array" aca="1" ref="S173" ca="1">SUMPRODUCT(O172:R172*(B173:E173-B172:E172)/B172:E172)</f>
        <v>5.1727870565124847E-3</v>
      </c>
      <c r="T173">
        <f t="shared" ca="1" si="29"/>
        <v>1005.1727870565126</v>
      </c>
    </row>
    <row r="174" spans="1:20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20"/>
        <v>286976</v>
      </c>
      <c r="K174">
        <f t="shared" ca="1" si="21"/>
        <v>2500756</v>
      </c>
      <c r="L174">
        <f t="shared" ca="1" si="22"/>
        <v>1711499.9999999998</v>
      </c>
      <c r="M174">
        <f t="shared" ca="1" si="23"/>
        <v>3229380</v>
      </c>
      <c r="N174">
        <f t="shared" ca="1" si="24"/>
        <v>7728612</v>
      </c>
      <c r="O174">
        <f t="shared" ca="1" si="25"/>
        <v>3.713163502062207E-2</v>
      </c>
      <c r="P174">
        <f t="shared" ca="1" si="26"/>
        <v>0.32357116646559564</v>
      </c>
      <c r="Q174">
        <f t="shared" ca="1" si="27"/>
        <v>0.2214498541264589</v>
      </c>
      <c r="R174">
        <f t="shared" ca="1" si="28"/>
        <v>0.41784734438732335</v>
      </c>
      <c r="S174" cm="1">
        <f t="array" aca="1" ref="S174" ca="1">SUMPRODUCT(O173:R173*(B174:E174-B173:E173)/B173:E173)</f>
        <v>1.8090622649853193E-2</v>
      </c>
      <c r="T174">
        <f t="shared" ca="1" si="29"/>
        <v>1018.0906226498531</v>
      </c>
    </row>
    <row r="175" spans="1:20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20"/>
        <v>282080</v>
      </c>
      <c r="K175">
        <f t="shared" ca="1" si="21"/>
        <v>2455098</v>
      </c>
      <c r="L175">
        <f t="shared" ca="1" si="22"/>
        <v>1691750</v>
      </c>
      <c r="M175">
        <f t="shared" ca="1" si="23"/>
        <v>3167430.0000000005</v>
      </c>
      <c r="N175">
        <f t="shared" ca="1" si="24"/>
        <v>7596358</v>
      </c>
      <c r="O175">
        <f t="shared" ca="1" si="25"/>
        <v>3.7133584278150132E-2</v>
      </c>
      <c r="P175">
        <f t="shared" ca="1" si="26"/>
        <v>0.32319408853558507</v>
      </c>
      <c r="Q175">
        <f t="shared" ca="1" si="27"/>
        <v>0.22270540698582136</v>
      </c>
      <c r="R175">
        <f t="shared" ca="1" si="28"/>
        <v>0.41696692020044346</v>
      </c>
      <c r="S175" cm="1">
        <f t="array" aca="1" ref="S175" ca="1">SUMPRODUCT(O174:R174*(B175:E175-B174:E174)/B174:E174)</f>
        <v>-1.7112257673175944E-2</v>
      </c>
      <c r="T175">
        <f t="shared" ca="1" si="29"/>
        <v>982.88774232682408</v>
      </c>
    </row>
    <row r="176" spans="1:20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20"/>
        <v>278736</v>
      </c>
      <c r="K176">
        <f t="shared" ca="1" si="21"/>
        <v>2486844</v>
      </c>
      <c r="L176">
        <f t="shared" ca="1" si="22"/>
        <v>1708875</v>
      </c>
      <c r="M176">
        <f t="shared" ca="1" si="23"/>
        <v>3203130</v>
      </c>
      <c r="N176">
        <f t="shared" ca="1" si="24"/>
        <v>7677585</v>
      </c>
      <c r="O176">
        <f t="shared" ca="1" si="25"/>
        <v>3.6305166272988187E-2</v>
      </c>
      <c r="P176">
        <f t="shared" ca="1" si="26"/>
        <v>0.32390966690697659</v>
      </c>
      <c r="Q176">
        <f t="shared" ca="1" si="27"/>
        <v>0.22257975652500103</v>
      </c>
      <c r="R176">
        <f t="shared" ca="1" si="28"/>
        <v>0.41720541029503416</v>
      </c>
      <c r="S176" cm="1">
        <f t="array" aca="1" ref="S176" ca="1">SUMPRODUCT(O175:R175*(B176:E176-B175:E175)/B175:E175)</f>
        <v>1.069288730204658E-2</v>
      </c>
      <c r="T176">
        <f t="shared" ca="1" si="29"/>
        <v>1010.6928873020466</v>
      </c>
    </row>
    <row r="177" spans="1:20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20"/>
        <v>281184</v>
      </c>
      <c r="K177">
        <f t="shared" ca="1" si="21"/>
        <v>2506380</v>
      </c>
      <c r="L177">
        <f t="shared" ca="1" si="22"/>
        <v>1726250</v>
      </c>
      <c r="M177">
        <f t="shared" ca="1" si="23"/>
        <v>3273060.0000000005</v>
      </c>
      <c r="N177">
        <f t="shared" ca="1" si="24"/>
        <v>7786874</v>
      </c>
      <c r="O177">
        <f t="shared" ca="1" si="25"/>
        <v>3.6109997413596266E-2</v>
      </c>
      <c r="P177">
        <f t="shared" ca="1" si="26"/>
        <v>0.32187242274627792</v>
      </c>
      <c r="Q177">
        <f t="shared" ca="1" si="27"/>
        <v>0.22168716226819646</v>
      </c>
      <c r="R177">
        <f t="shared" ca="1" si="28"/>
        <v>0.42033041757192946</v>
      </c>
      <c r="S177" cm="1">
        <f t="array" aca="1" ref="S177" ca="1">SUMPRODUCT(O176:R176*(B177:E177-B176:E176)/B176:E176)</f>
        <v>1.4234814723640309E-2</v>
      </c>
      <c r="T177">
        <f t="shared" ca="1" si="29"/>
        <v>1014.2348147236404</v>
      </c>
    </row>
    <row r="178" spans="1:20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20"/>
        <v>280016</v>
      </c>
      <c r="K178">
        <f t="shared" ca="1" si="21"/>
        <v>2443628</v>
      </c>
      <c r="L178">
        <f t="shared" ca="1" si="22"/>
        <v>1717500</v>
      </c>
      <c r="M178">
        <f t="shared" ca="1" si="23"/>
        <v>3153255</v>
      </c>
      <c r="N178">
        <f t="shared" ca="1" si="24"/>
        <v>7594399</v>
      </c>
      <c r="O178">
        <f t="shared" ca="1" si="25"/>
        <v>3.6871383765851647E-2</v>
      </c>
      <c r="P178">
        <f t="shared" ca="1" si="26"/>
        <v>0.32176713391013562</v>
      </c>
      <c r="Q178">
        <f t="shared" ca="1" si="27"/>
        <v>0.22615351129167693</v>
      </c>
      <c r="R178">
        <f t="shared" ca="1" si="28"/>
        <v>0.41520797103233581</v>
      </c>
      <c r="S178" cm="1">
        <f t="array" aca="1" ref="S178" ca="1">SUMPRODUCT(O177:R177*(B178:E178-B177:E177)/B177:E177)</f>
        <v>-2.4717877803082454E-2</v>
      </c>
      <c r="T178">
        <f t="shared" ca="1" si="29"/>
        <v>975.28212219691761</v>
      </c>
    </row>
    <row r="179" spans="1:20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20"/>
        <v>284752</v>
      </c>
      <c r="K179">
        <f t="shared" ca="1" si="21"/>
        <v>2435044</v>
      </c>
      <c r="L179">
        <f t="shared" ca="1" si="22"/>
        <v>1727625</v>
      </c>
      <c r="M179">
        <f t="shared" ca="1" si="23"/>
        <v>3176775</v>
      </c>
      <c r="N179">
        <f t="shared" ca="1" si="24"/>
        <v>7624196</v>
      </c>
      <c r="O179">
        <f t="shared" ca="1" si="25"/>
        <v>3.7348462710035259E-2</v>
      </c>
      <c r="P179">
        <f t="shared" ca="1" si="26"/>
        <v>0.31938370944293665</v>
      </c>
      <c r="Q179">
        <f t="shared" ca="1" si="27"/>
        <v>0.22659766354380187</v>
      </c>
      <c r="R179">
        <f t="shared" ca="1" si="28"/>
        <v>0.41667016430322618</v>
      </c>
      <c r="S179" cm="1">
        <f t="array" aca="1" ref="S179" ca="1">SUMPRODUCT(O178:R178*(B179:E179-B178:E178)/B178:E178)</f>
        <v>3.923549447428289E-3</v>
      </c>
      <c r="T179">
        <f t="shared" ca="1" si="29"/>
        <v>1003.9235494474283</v>
      </c>
    </row>
    <row r="180" spans="1:20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20"/>
        <v>286512</v>
      </c>
      <c r="K180">
        <f t="shared" ca="1" si="21"/>
        <v>2432010</v>
      </c>
      <c r="L180">
        <f t="shared" ca="1" si="22"/>
        <v>1725500</v>
      </c>
      <c r="M180">
        <f t="shared" ca="1" si="23"/>
        <v>3203235</v>
      </c>
      <c r="N180">
        <f t="shared" ca="1" si="24"/>
        <v>7647257</v>
      </c>
      <c r="O180">
        <f t="shared" ca="1" si="25"/>
        <v>3.7465982900796981E-2</v>
      </c>
      <c r="P180">
        <f t="shared" ca="1" si="26"/>
        <v>0.31802383521307054</v>
      </c>
      <c r="Q180">
        <f t="shared" ca="1" si="27"/>
        <v>0.2256364602366574</v>
      </c>
      <c r="R180">
        <f t="shared" ca="1" si="28"/>
        <v>0.41887372164947512</v>
      </c>
      <c r="S180" cm="1">
        <f t="array" aca="1" ref="S180" ca="1">SUMPRODUCT(O179:R179*(B180:E180-B179:E179)/B179:E179)</f>
        <v>3.0247123762294956E-3</v>
      </c>
      <c r="T180">
        <f t="shared" ca="1" si="29"/>
        <v>1003.0247123762294</v>
      </c>
    </row>
    <row r="181" spans="1:20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20"/>
        <v>280784</v>
      </c>
      <c r="K181">
        <f t="shared" ca="1" si="21"/>
        <v>2373698</v>
      </c>
      <c r="L181">
        <f t="shared" ca="1" si="22"/>
        <v>1671750</v>
      </c>
      <c r="M181">
        <f t="shared" ca="1" si="23"/>
        <v>3146535</v>
      </c>
      <c r="N181">
        <f t="shared" ca="1" si="24"/>
        <v>7472767</v>
      </c>
      <c r="O181">
        <f t="shared" ca="1" si="25"/>
        <v>3.7574301460222163E-2</v>
      </c>
      <c r="P181">
        <f t="shared" ca="1" si="26"/>
        <v>0.31764646214715381</v>
      </c>
      <c r="Q181">
        <f t="shared" ca="1" si="27"/>
        <v>0.22371231432747735</v>
      </c>
      <c r="R181">
        <f t="shared" ca="1" si="28"/>
        <v>0.42106692206514668</v>
      </c>
      <c r="S181" cm="1">
        <f t="array" aca="1" ref="S181" ca="1">SUMPRODUCT(O180:R180*(B181:E181-B180:E180)/B180:E180)</f>
        <v>-2.2817331756994633E-2</v>
      </c>
      <c r="T181">
        <f t="shared" ca="1" si="29"/>
        <v>977.18266824300542</v>
      </c>
    </row>
    <row r="182" spans="1:20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20"/>
        <v>278288</v>
      </c>
      <c r="K182">
        <f t="shared" ca="1" si="21"/>
        <v>2364522</v>
      </c>
      <c r="L182">
        <f t="shared" ca="1" si="22"/>
        <v>1630500</v>
      </c>
      <c r="M182">
        <f t="shared" ca="1" si="23"/>
        <v>3105165</v>
      </c>
      <c r="N182">
        <f t="shared" ca="1" si="24"/>
        <v>7378475</v>
      </c>
      <c r="O182">
        <f t="shared" ca="1" si="25"/>
        <v>3.7716194742138449E-2</v>
      </c>
      <c r="P182">
        <f t="shared" ca="1" si="26"/>
        <v>0.32046215512012982</v>
      </c>
      <c r="Q182">
        <f t="shared" ca="1" si="27"/>
        <v>0.22098062268964794</v>
      </c>
      <c r="R182">
        <f t="shared" ca="1" si="28"/>
        <v>0.42084102744808377</v>
      </c>
      <c r="S182" cm="1">
        <f t="array" aca="1" ref="S182" ca="1">SUMPRODUCT(O181:R181*(B182:E182-B181:E181)/B181:E181)</f>
        <v>-1.2618083770041295E-2</v>
      </c>
      <c r="T182">
        <f t="shared" ca="1" si="29"/>
        <v>987.38191622995873</v>
      </c>
    </row>
    <row r="183" spans="1:20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20"/>
        <v>279664</v>
      </c>
      <c r="K183">
        <f t="shared" ca="1" si="21"/>
        <v>2345874</v>
      </c>
      <c r="L183">
        <f t="shared" ca="1" si="22"/>
        <v>1628125</v>
      </c>
      <c r="M183">
        <f t="shared" ca="1" si="23"/>
        <v>3140340</v>
      </c>
      <c r="N183">
        <f t="shared" ca="1" si="24"/>
        <v>7394003</v>
      </c>
      <c r="O183">
        <f t="shared" ca="1" si="25"/>
        <v>3.7823084464531594E-2</v>
      </c>
      <c r="P183">
        <f t="shared" ca="1" si="26"/>
        <v>0.3172671149849412</v>
      </c>
      <c r="Q183">
        <f t="shared" ca="1" si="27"/>
        <v>0.22019533938517472</v>
      </c>
      <c r="R183">
        <f t="shared" ca="1" si="28"/>
        <v>0.4247144611653525</v>
      </c>
      <c r="S183" cm="1">
        <f t="array" aca="1" ref="S183" ca="1">SUMPRODUCT(O182:R182*(B183:E183-B182:E182)/B182:E182)</f>
        <v>2.1044999136000022E-3</v>
      </c>
      <c r="T183">
        <f t="shared" ca="1" si="29"/>
        <v>1002.1044999136</v>
      </c>
    </row>
    <row r="184" spans="1:20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20"/>
        <v>281728</v>
      </c>
      <c r="K184">
        <f t="shared" ca="1" si="21"/>
        <v>2349796</v>
      </c>
      <c r="L184">
        <f t="shared" ca="1" si="22"/>
        <v>1638875.0000000002</v>
      </c>
      <c r="M184">
        <f t="shared" ca="1" si="23"/>
        <v>3158715</v>
      </c>
      <c r="N184">
        <f t="shared" ca="1" si="24"/>
        <v>7429114</v>
      </c>
      <c r="O184">
        <f t="shared" ca="1" si="25"/>
        <v>3.7922153301187735E-2</v>
      </c>
      <c r="P184">
        <f t="shared" ca="1" si="26"/>
        <v>0.31629559056436607</v>
      </c>
      <c r="Q184">
        <f t="shared" ca="1" si="27"/>
        <v>0.22060167605450667</v>
      </c>
      <c r="R184">
        <f t="shared" ca="1" si="28"/>
        <v>0.42518058007993953</v>
      </c>
      <c r="S184" cm="1">
        <f t="array" aca="1" ref="S184" ca="1">SUMPRODUCT(O183:R183*(B184:E184-B183:E183)/B183:E183)</f>
        <v>4.7485780030114173E-3</v>
      </c>
      <c r="T184">
        <f t="shared" ca="1" si="29"/>
        <v>1004.7485780030114</v>
      </c>
    </row>
    <row r="185" spans="1:20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20"/>
        <v>275136</v>
      </c>
      <c r="K185">
        <f t="shared" ca="1" si="21"/>
        <v>2309836</v>
      </c>
      <c r="L185">
        <f t="shared" ca="1" si="22"/>
        <v>1607062.5</v>
      </c>
      <c r="M185">
        <f t="shared" ca="1" si="23"/>
        <v>3139080</v>
      </c>
      <c r="N185">
        <f t="shared" ca="1" si="24"/>
        <v>7331114.5</v>
      </c>
      <c r="O185">
        <f t="shared" ca="1" si="25"/>
        <v>3.7529900808396868E-2</v>
      </c>
      <c r="P185">
        <f t="shared" ca="1" si="26"/>
        <v>0.31507296741852825</v>
      </c>
      <c r="Q185">
        <f t="shared" ca="1" si="27"/>
        <v>0.21921121270169769</v>
      </c>
      <c r="R185">
        <f t="shared" ca="1" si="28"/>
        <v>0.42818591907137721</v>
      </c>
      <c r="S185" cm="1">
        <f t="array" aca="1" ref="S185" ca="1">SUMPRODUCT(O184:R184*(B185:E185-B184:E184)/B184:E184)</f>
        <v>-1.3191276914043924E-2</v>
      </c>
      <c r="T185">
        <f t="shared" ca="1" si="29"/>
        <v>986.8087230859561</v>
      </c>
    </row>
    <row r="186" spans="1:20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20"/>
        <v>272688</v>
      </c>
      <c r="K186">
        <f t="shared" ca="1" si="21"/>
        <v>2314646</v>
      </c>
      <c r="L186">
        <f t="shared" ca="1" si="22"/>
        <v>1631750</v>
      </c>
      <c r="M186">
        <f t="shared" ca="1" si="23"/>
        <v>3126270</v>
      </c>
      <c r="N186">
        <f t="shared" ca="1" si="24"/>
        <v>7345354</v>
      </c>
      <c r="O186">
        <f t="shared" ca="1" si="25"/>
        <v>3.7123874492638473E-2</v>
      </c>
      <c r="P186">
        <f t="shared" ca="1" si="26"/>
        <v>0.31511701137889336</v>
      </c>
      <c r="Q186">
        <f t="shared" ca="1" si="27"/>
        <v>0.22214722394591194</v>
      </c>
      <c r="R186">
        <f t="shared" ca="1" si="28"/>
        <v>0.42561189018255619</v>
      </c>
      <c r="S186" cm="1">
        <f t="array" aca="1" ref="S186" ca="1">SUMPRODUCT(O185:R185*(B186:E186-B185:E185)/B185:E185)</f>
        <v>1.9423376895832812E-3</v>
      </c>
      <c r="T186">
        <f t="shared" ca="1" si="29"/>
        <v>1001.9423376895833</v>
      </c>
    </row>
    <row r="187" spans="1:20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20"/>
        <v>273104</v>
      </c>
      <c r="K187">
        <f t="shared" ca="1" si="21"/>
        <v>2320936</v>
      </c>
      <c r="L187">
        <f t="shared" ca="1" si="22"/>
        <v>1653875</v>
      </c>
      <c r="M187">
        <f t="shared" ca="1" si="23"/>
        <v>3191580</v>
      </c>
      <c r="N187">
        <f t="shared" ca="1" si="24"/>
        <v>7439495</v>
      </c>
      <c r="O187">
        <f t="shared" ca="1" si="25"/>
        <v>3.6710018623575931E-2</v>
      </c>
      <c r="P187">
        <f t="shared" ca="1" si="26"/>
        <v>0.31197493915917679</v>
      </c>
      <c r="Q187">
        <f t="shared" ca="1" si="27"/>
        <v>0.22231011647968041</v>
      </c>
      <c r="R187">
        <f t="shared" ca="1" si="28"/>
        <v>0.42900492573756688</v>
      </c>
      <c r="S187" cm="1">
        <f t="array" aca="1" ref="S187" ca="1">SUMPRODUCT(O186:R186*(B187:E187-B186:E186)/B186:E186)</f>
        <v>1.281640067993994E-2</v>
      </c>
      <c r="T187">
        <f t="shared" ca="1" si="29"/>
        <v>1012.8164006799399</v>
      </c>
    </row>
    <row r="188" spans="1:20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20"/>
        <v>273936</v>
      </c>
      <c r="K188">
        <f t="shared" ca="1" si="21"/>
        <v>2336550</v>
      </c>
      <c r="L188">
        <f t="shared" ca="1" si="22"/>
        <v>1635750.0000000002</v>
      </c>
      <c r="M188">
        <f t="shared" ca="1" si="23"/>
        <v>3152205</v>
      </c>
      <c r="N188">
        <f t="shared" ca="1" si="24"/>
        <v>7398441</v>
      </c>
      <c r="O188">
        <f t="shared" ca="1" si="25"/>
        <v>3.7026178893634486E-2</v>
      </c>
      <c r="P188">
        <f t="shared" ca="1" si="26"/>
        <v>0.31581653486187156</v>
      </c>
      <c r="Q188">
        <f t="shared" ca="1" si="27"/>
        <v>0.22109387639909547</v>
      </c>
      <c r="R188">
        <f t="shared" ca="1" si="28"/>
        <v>0.42606340984539853</v>
      </c>
      <c r="S188" cm="1">
        <f t="array" aca="1" ref="S188" ca="1">SUMPRODUCT(O187:R187*(B188:E188-B187:E187)/B187:E187)</f>
        <v>-5.5183853205089516E-3</v>
      </c>
      <c r="T188">
        <f t="shared" ca="1" si="29"/>
        <v>994.48161467949103</v>
      </c>
    </row>
    <row r="189" spans="1:20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20"/>
        <v>278000</v>
      </c>
      <c r="K189">
        <f t="shared" ca="1" si="21"/>
        <v>2381320</v>
      </c>
      <c r="L189">
        <f t="shared" ca="1" si="22"/>
        <v>1677124.9999999998</v>
      </c>
      <c r="M189">
        <f t="shared" ca="1" si="23"/>
        <v>3221610</v>
      </c>
      <c r="N189">
        <f t="shared" ca="1" si="24"/>
        <v>7558055</v>
      </c>
      <c r="O189">
        <f t="shared" ca="1" si="25"/>
        <v>3.6781949853500667E-2</v>
      </c>
      <c r="P189">
        <f t="shared" ca="1" si="26"/>
        <v>0.31507047778826697</v>
      </c>
      <c r="Q189">
        <f t="shared" ca="1" si="27"/>
        <v>0.22189902031673489</v>
      </c>
      <c r="R189">
        <f t="shared" ca="1" si="28"/>
        <v>0.42624855204149747</v>
      </c>
      <c r="S189" cm="1">
        <f t="array" aca="1" ref="S189" ca="1">SUMPRODUCT(O188:R188*(B189:E189-B188:E188)/B188:E188)</f>
        <v>2.1574004577450831E-2</v>
      </c>
      <c r="T189">
        <f t="shared" ca="1" si="29"/>
        <v>1021.5740045774509</v>
      </c>
    </row>
    <row r="190" spans="1:20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20"/>
        <v>275840</v>
      </c>
      <c r="K190">
        <f t="shared" ca="1" si="21"/>
        <v>2319086</v>
      </c>
      <c r="L190">
        <f t="shared" ca="1" si="22"/>
        <v>1655375</v>
      </c>
      <c r="M190">
        <f t="shared" ca="1" si="23"/>
        <v>3159870</v>
      </c>
      <c r="N190">
        <f t="shared" ca="1" si="24"/>
        <v>7410171</v>
      </c>
      <c r="O190">
        <f t="shared" ca="1" si="25"/>
        <v>3.7224512092905816E-2</v>
      </c>
      <c r="P190">
        <f t="shared" ca="1" si="26"/>
        <v>0.31295984937459609</v>
      </c>
      <c r="Q190">
        <f t="shared" ca="1" si="27"/>
        <v>0.2233922806909584</v>
      </c>
      <c r="R190">
        <f t="shared" ca="1" si="28"/>
        <v>0.42642335784153967</v>
      </c>
      <c r="S190" cm="1">
        <f t="array" aca="1" ref="S190" ca="1">SUMPRODUCT(O189:R189*(B190:E190-B189:E189)/B189:E189)</f>
        <v>-1.9566409611996724E-2</v>
      </c>
      <c r="T190">
        <f t="shared" ca="1" si="29"/>
        <v>980.43359038800327</v>
      </c>
    </row>
    <row r="191" spans="1:20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135.24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20"/>
        <v>277856</v>
      </c>
      <c r="K191">
        <f t="shared" ca="1" si="21"/>
        <v>2360267</v>
      </c>
      <c r="L191">
        <f t="shared" ca="1" si="22"/>
        <v>1690500</v>
      </c>
      <c r="M191">
        <f t="shared" ca="1" si="23"/>
        <v>3208590</v>
      </c>
      <c r="N191">
        <f t="shared" ca="1" si="24"/>
        <v>7537213</v>
      </c>
      <c r="O191">
        <f t="shared" ca="1" si="25"/>
        <v>3.6864554577401488E-2</v>
      </c>
      <c r="P191">
        <f t="shared" ca="1" si="26"/>
        <v>0.31314850727981286</v>
      </c>
      <c r="Q191">
        <f t="shared" ca="1" si="27"/>
        <v>0.22428714698655855</v>
      </c>
      <c r="R191">
        <f t="shared" ca="1" si="28"/>
        <v>0.42569979115622714</v>
      </c>
      <c r="S191" cm="1">
        <f t="array" aca="1" ref="S191" ca="1">SUMPRODUCT(O190:R190*(B191:E191-B190:E190)/B190:E190)</f>
        <v>1.7144273728635931E-2</v>
      </c>
      <c r="T191">
        <f t="shared" ca="1" si="29"/>
        <v>1017.144273728636</v>
      </c>
    </row>
    <row r="192" spans="1:20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1664">
        <f ca="1"/>
        <v>135.07</v>
      </c>
      <c r="E192" vm="2009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20"/>
        <v>279856</v>
      </c>
      <c r="K192">
        <f t="shared" ca="1" si="21"/>
        <v>2363264</v>
      </c>
      <c r="L192">
        <f t="shared" ca="1" si="22"/>
        <v>1688375</v>
      </c>
      <c r="M192">
        <f t="shared" ca="1" si="23"/>
        <v>3200295</v>
      </c>
      <c r="N192">
        <f t="shared" ca="1" si="24"/>
        <v>7531790</v>
      </c>
      <c r="O192">
        <f t="shared" ca="1" si="25"/>
        <v>3.7156638727314492E-2</v>
      </c>
      <c r="P192">
        <f t="shared" ca="1" si="26"/>
        <v>0.31377189220623519</v>
      </c>
      <c r="Q192">
        <f t="shared" ca="1" si="27"/>
        <v>0.22416649959704135</v>
      </c>
      <c r="R192">
        <f t="shared" ca="1" si="28"/>
        <v>0.42490496946940898</v>
      </c>
      <c r="S192" cm="1">
        <f t="array" aca="1" ref="S192" ca="1">SUMPRODUCT(O191:R191*(B192:E192-B191:E191)/B191:E191)</f>
        <v>-7.1949671582846315E-4</v>
      </c>
      <c r="T192">
        <f t="shared" ca="1" si="29"/>
        <v>999.28050328417146</v>
      </c>
    </row>
    <row r="193" spans="1:20" x14ac:dyDescent="0.25">
      <c r="A193" vm="2010">
        <f ca="1"/>
        <v>45205</v>
      </c>
      <c r="B193" vm="2011">
        <f ca="1"/>
        <v>177.49</v>
      </c>
      <c r="C193" vm="2012">
        <f ca="1"/>
        <v>327.26</v>
      </c>
      <c r="D193" vm="1115">
        <f ca="1"/>
        <v>137.58000000000001</v>
      </c>
      <c r="E193" vm="2013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20"/>
        <v>283984</v>
      </c>
      <c r="K193">
        <f t="shared" ca="1" si="21"/>
        <v>2421724</v>
      </c>
      <c r="L193">
        <f t="shared" ca="1" si="22"/>
        <v>1719750.0000000002</v>
      </c>
      <c r="M193">
        <f t="shared" ca="1" si="23"/>
        <v>3312015</v>
      </c>
      <c r="N193">
        <f t="shared" ca="1" si="24"/>
        <v>7737473</v>
      </c>
      <c r="O193">
        <f t="shared" ca="1" si="25"/>
        <v>3.6702422095689378E-2</v>
      </c>
      <c r="P193">
        <f t="shared" ca="1" si="26"/>
        <v>0.31298642334519294</v>
      </c>
      <c r="Q193">
        <f t="shared" ca="1" si="27"/>
        <v>0.22226248802419088</v>
      </c>
      <c r="R193">
        <f t="shared" ca="1" si="28"/>
        <v>0.42804866653492685</v>
      </c>
      <c r="S193" cm="1">
        <f t="array" aca="1" ref="S193" ca="1">SUMPRODUCT(O192:R192*(B193:E193-B192:E192)/B192:E192)</f>
        <v>2.7308647745091133E-2</v>
      </c>
      <c r="T193">
        <f t="shared" ca="1" si="29"/>
        <v>1027.3086477450913</v>
      </c>
    </row>
    <row r="194" spans="1:20" x14ac:dyDescent="0.25">
      <c r="A194" vm="2014">
        <f ca="1"/>
        <v>45208</v>
      </c>
      <c r="B194" vm="2015">
        <f ca="1"/>
        <v>178.99</v>
      </c>
      <c r="C194" vm="2016">
        <f ca="1"/>
        <v>329.82</v>
      </c>
      <c r="D194" vm="2017">
        <f ca="1"/>
        <v>138.41999999999999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20"/>
        <v>286384</v>
      </c>
      <c r="K194">
        <f t="shared" ca="1" si="21"/>
        <v>2440668</v>
      </c>
      <c r="L194">
        <f t="shared" ca="1" si="22"/>
        <v>1730249.9999999998</v>
      </c>
      <c r="M194">
        <f t="shared" ca="1" si="23"/>
        <v>3342780</v>
      </c>
      <c r="N194">
        <f t="shared" ca="1" si="24"/>
        <v>7800082</v>
      </c>
      <c r="O194">
        <f t="shared" ca="1" si="25"/>
        <v>3.6715511452315504E-2</v>
      </c>
      <c r="P194">
        <f t="shared" ca="1" si="26"/>
        <v>0.31290286435450293</v>
      </c>
      <c r="Q194">
        <f t="shared" ca="1" si="27"/>
        <v>0.22182459107481176</v>
      </c>
      <c r="R194">
        <f t="shared" ca="1" si="28"/>
        <v>0.42855703311836979</v>
      </c>
      <c r="S194" cm="1">
        <f t="array" aca="1" ref="S194" ca="1">SUMPRODUCT(O193:R193*(B194:E194-B193:E193)/B193:E193)</f>
        <v>8.091659899814807E-3</v>
      </c>
      <c r="T194">
        <f t="shared" ca="1" si="29"/>
        <v>1008.0916598998149</v>
      </c>
    </row>
    <row r="195" spans="1:20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2021">
        <f ca="1"/>
        <v>138.06</v>
      </c>
      <c r="E195" vm="2022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30">F195*B195</f>
        <v>285424</v>
      </c>
      <c r="K195">
        <f t="shared" ref="K195:K244" ca="1" si="31">G195*C195</f>
        <v>2430086</v>
      </c>
      <c r="L195">
        <f t="shared" ref="L195:L244" ca="1" si="32">H195*D195</f>
        <v>1725750</v>
      </c>
      <c r="M195">
        <f t="shared" ref="M195:M244" ca="1" si="33">I195*E195</f>
        <v>3379319.9999999995</v>
      </c>
      <c r="N195">
        <f t="shared" ref="N195:N244" ca="1" si="34">SUM(J195:M195)</f>
        <v>7820580</v>
      </c>
      <c r="O195">
        <f t="shared" ref="O195:O244" ca="1" si="35">J195/N195</f>
        <v>3.6496525833122351E-2</v>
      </c>
      <c r="P195">
        <f t="shared" ref="P195:P244" ca="1" si="36">K195/N195</f>
        <v>0.31072963897818323</v>
      </c>
      <c r="Q195">
        <f t="shared" ref="Q195:Q244" ca="1" si="37">L195/N195</f>
        <v>0.22066777655877184</v>
      </c>
      <c r="R195">
        <f t="shared" ref="R195:R244" ca="1" si="38">M195/N195</f>
        <v>0.43210605862992252</v>
      </c>
      <c r="S195" cm="1">
        <f t="array" aca="1" ref="S195" ca="1">SUMPRODUCT(O194:R194*(B195:E195-B194:E194)/B194:E194)</f>
        <v>2.6279210910859262E-3</v>
      </c>
      <c r="T195">
        <f t="shared" ca="1" si="29"/>
        <v>1002.627921091086</v>
      </c>
    </row>
    <row r="196" spans="1:20" x14ac:dyDescent="0.25">
      <c r="A196" vm="2023">
        <f ca="1"/>
        <v>45210</v>
      </c>
      <c r="B196" vm="1598">
        <f ca="1"/>
        <v>179.8</v>
      </c>
      <c r="C196" vm="2024">
        <f ca="1"/>
        <v>332.42</v>
      </c>
      <c r="D196" vm="2025">
        <f ca="1"/>
        <v>140.55000000000001</v>
      </c>
      <c r="E196" vm="2026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30"/>
        <v>287680</v>
      </c>
      <c r="K196">
        <f t="shared" ca="1" si="31"/>
        <v>2459908</v>
      </c>
      <c r="L196">
        <f t="shared" ca="1" si="32"/>
        <v>1756875.0000000002</v>
      </c>
      <c r="M196">
        <f t="shared" ca="1" si="33"/>
        <v>3442110</v>
      </c>
      <c r="N196">
        <f t="shared" ca="1" si="34"/>
        <v>7946573</v>
      </c>
      <c r="O196">
        <f t="shared" ca="1" si="35"/>
        <v>3.6201768988971726E-2</v>
      </c>
      <c r="P196">
        <f t="shared" ca="1" si="36"/>
        <v>0.3095558299156127</v>
      </c>
      <c r="Q196">
        <f t="shared" ca="1" si="37"/>
        <v>0.22108586934267138</v>
      </c>
      <c r="R196">
        <f t="shared" ca="1" si="38"/>
        <v>0.43315653175274421</v>
      </c>
      <c r="S196" cm="1">
        <f t="array" aca="1" ref="S196" ca="1">SUMPRODUCT(O195:R195*(B196:E196-B195:E195)/B195:E195)</f>
        <v>1.6110441936531633E-2</v>
      </c>
      <c r="T196">
        <f t="shared" ref="T196:T244" ca="1" si="39">1000*(S196+1)</f>
        <v>1016.1104419365316</v>
      </c>
    </row>
    <row r="197" spans="1:20" x14ac:dyDescent="0.25">
      <c r="A197" vm="2027">
        <f ca="1"/>
        <v>45211</v>
      </c>
      <c r="B197" vm="2028">
        <f ca="1"/>
        <v>180.71</v>
      </c>
      <c r="C197" vm="2029">
        <f ca="1"/>
        <v>331.16</v>
      </c>
      <c r="D197" vm="2030">
        <f ca="1"/>
        <v>138.97</v>
      </c>
      <c r="E197" vm="2031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30"/>
        <v>289136</v>
      </c>
      <c r="K197">
        <f t="shared" ca="1" si="31"/>
        <v>2450584</v>
      </c>
      <c r="L197">
        <f t="shared" ca="1" si="32"/>
        <v>1737125</v>
      </c>
      <c r="M197">
        <f t="shared" ca="1" si="33"/>
        <v>3403680.0000000005</v>
      </c>
      <c r="N197">
        <f t="shared" ca="1" si="34"/>
        <v>7880525</v>
      </c>
      <c r="O197">
        <f t="shared" ca="1" si="35"/>
        <v>3.6689941342740492E-2</v>
      </c>
      <c r="P197">
        <f t="shared" ca="1" si="36"/>
        <v>0.31096709927320831</v>
      </c>
      <c r="Q197">
        <f t="shared" ca="1" si="37"/>
        <v>0.22043264884002017</v>
      </c>
      <c r="R197">
        <f t="shared" ca="1" si="38"/>
        <v>0.43191031054403106</v>
      </c>
      <c r="S197" cm="1">
        <f t="array" aca="1" ref="S197" ca="1">SUMPRODUCT(O196:R196*(B197:E197-B196:E196)/B196:E196)</f>
        <v>-8.311507362985247E-3</v>
      </c>
      <c r="T197">
        <f t="shared" ca="1" si="39"/>
        <v>991.68849263701475</v>
      </c>
    </row>
    <row r="198" spans="1:20" x14ac:dyDescent="0.25">
      <c r="A198" vm="2032">
        <f ca="1"/>
        <v>45212</v>
      </c>
      <c r="B198" vm="1587">
        <f ca="1"/>
        <v>178.85</v>
      </c>
      <c r="C198" vm="2033">
        <f ca="1"/>
        <v>327.73</v>
      </c>
      <c r="D198" vm="2034">
        <f ca="1"/>
        <v>137.36000000000001</v>
      </c>
      <c r="E198" vm="2035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30"/>
        <v>286160</v>
      </c>
      <c r="K198">
        <f t="shared" ca="1" si="31"/>
        <v>2425202</v>
      </c>
      <c r="L198">
        <f t="shared" ca="1" si="32"/>
        <v>1717000.0000000002</v>
      </c>
      <c r="M198">
        <f t="shared" ca="1" si="33"/>
        <v>3304245</v>
      </c>
      <c r="N198">
        <f t="shared" ca="1" si="34"/>
        <v>7732607</v>
      </c>
      <c r="O198">
        <f t="shared" ca="1" si="35"/>
        <v>3.7006924055496417E-2</v>
      </c>
      <c r="P198">
        <f t="shared" ca="1" si="36"/>
        <v>0.31363316408036773</v>
      </c>
      <c r="Q198">
        <f t="shared" ca="1" si="37"/>
        <v>0.22204671723262287</v>
      </c>
      <c r="R198">
        <f t="shared" ca="1" si="38"/>
        <v>0.42731319463151302</v>
      </c>
      <c r="S198" cm="1">
        <f t="array" aca="1" ref="S198" ca="1">SUMPRODUCT(O197:R197*(B198:E198-B197:E197)/B197:E197)</f>
        <v>-1.8770069253000298E-2</v>
      </c>
      <c r="T198">
        <f t="shared" ca="1" si="39"/>
        <v>981.22993074699968</v>
      </c>
    </row>
    <row r="199" spans="1:20" x14ac:dyDescent="0.25">
      <c r="A199" vm="2036">
        <f ca="1"/>
        <v>45215</v>
      </c>
      <c r="B199" vm="2037">
        <f ca="1"/>
        <v>178.72</v>
      </c>
      <c r="C199" vm="2038">
        <f ca="1"/>
        <v>332.64</v>
      </c>
      <c r="D199" vm="2039">
        <f ca="1"/>
        <v>139.095</v>
      </c>
      <c r="E199" vm="2040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30"/>
        <v>285952</v>
      </c>
      <c r="K199">
        <f t="shared" ca="1" si="31"/>
        <v>2461536</v>
      </c>
      <c r="L199">
        <f t="shared" ca="1" si="32"/>
        <v>1738687.5</v>
      </c>
      <c r="M199">
        <f t="shared" ca="1" si="33"/>
        <v>3372074.9999999995</v>
      </c>
      <c r="N199">
        <f t="shared" ca="1" si="34"/>
        <v>7858250.5</v>
      </c>
      <c r="O199">
        <f t="shared" ca="1" si="35"/>
        <v>3.6388761086198512E-2</v>
      </c>
      <c r="P199">
        <f t="shared" ca="1" si="36"/>
        <v>0.31324224138693468</v>
      </c>
      <c r="Q199">
        <f t="shared" ca="1" si="37"/>
        <v>0.22125630889470882</v>
      </c>
      <c r="R199">
        <f t="shared" ca="1" si="38"/>
        <v>0.42911268863215796</v>
      </c>
      <c r="S199" cm="1">
        <f t="array" aca="1" ref="S199" ca="1">SUMPRODUCT(O198:R198*(B199:E199-B198:E198)/B198:E198)</f>
        <v>1.624853041154159E-2</v>
      </c>
      <c r="T199">
        <f t="shared" ca="1" si="39"/>
        <v>1016.2485304115417</v>
      </c>
    </row>
    <row r="200" spans="1:20" x14ac:dyDescent="0.25">
      <c r="A200" vm="2041">
        <f ca="1"/>
        <v>45216</v>
      </c>
      <c r="B200" vm="2042">
        <f ca="1"/>
        <v>177.15</v>
      </c>
      <c r="C200" vm="2043">
        <f ca="1"/>
        <v>332.06</v>
      </c>
      <c r="D200" vm="2044">
        <f ca="1"/>
        <v>139.72</v>
      </c>
      <c r="E200" vm="2045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30"/>
        <v>283440</v>
      </c>
      <c r="K200">
        <f t="shared" ca="1" si="31"/>
        <v>2457244</v>
      </c>
      <c r="L200">
        <f t="shared" ca="1" si="32"/>
        <v>1746500</v>
      </c>
      <c r="M200">
        <f t="shared" ca="1" si="33"/>
        <v>3402000</v>
      </c>
      <c r="N200">
        <f t="shared" ca="1" si="34"/>
        <v>7889184</v>
      </c>
      <c r="O200">
        <f t="shared" ca="1" si="35"/>
        <v>3.5927670086031711E-2</v>
      </c>
      <c r="P200">
        <f t="shared" ca="1" si="36"/>
        <v>0.31146998219334215</v>
      </c>
      <c r="Q200">
        <f t="shared" ca="1" si="37"/>
        <v>0.22137904249666379</v>
      </c>
      <c r="R200">
        <f t="shared" ca="1" si="38"/>
        <v>0.43122330522396235</v>
      </c>
      <c r="S200" cm="1">
        <f t="array" aca="1" ref="S200" ca="1">SUMPRODUCT(O199:R199*(B200:E200-B199:E199)/B199:E199)</f>
        <v>3.9364359789752649E-3</v>
      </c>
      <c r="T200">
        <f t="shared" ca="1" si="39"/>
        <v>1003.9364359789753</v>
      </c>
    </row>
    <row r="201" spans="1:20" x14ac:dyDescent="0.25">
      <c r="A201" vm="2046">
        <f ca="1"/>
        <v>45217</v>
      </c>
      <c r="B201" vm="1686">
        <f ca="1"/>
        <v>175.84</v>
      </c>
      <c r="C201" vm="1588">
        <f ca="1"/>
        <v>330.11</v>
      </c>
      <c r="D201" vm="2047">
        <f ca="1"/>
        <v>137.96</v>
      </c>
      <c r="E201" vm="2048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30"/>
        <v>281344</v>
      </c>
      <c r="K201">
        <f t="shared" ca="1" si="31"/>
        <v>2442814</v>
      </c>
      <c r="L201">
        <f t="shared" ca="1" si="32"/>
        <v>1724500</v>
      </c>
      <c r="M201">
        <f t="shared" ca="1" si="33"/>
        <v>3328185.0000000005</v>
      </c>
      <c r="N201">
        <f t="shared" ca="1" si="34"/>
        <v>7776843</v>
      </c>
      <c r="O201">
        <f t="shared" ca="1" si="35"/>
        <v>3.6177147976370359E-2</v>
      </c>
      <c r="P201">
        <f t="shared" ca="1" si="36"/>
        <v>0.31411383771023793</v>
      </c>
      <c r="Q201">
        <f t="shared" ca="1" si="37"/>
        <v>0.22174807952275749</v>
      </c>
      <c r="R201">
        <f t="shared" ca="1" si="38"/>
        <v>0.42796093479063424</v>
      </c>
      <c r="S201" cm="1">
        <f t="array" aca="1" ref="S201" ca="1">SUMPRODUCT(O200:R200*(B201:E201-B200:E200)/B200:E200)</f>
        <v>-1.4239875759013799E-2</v>
      </c>
      <c r="T201">
        <f t="shared" ca="1" si="39"/>
        <v>985.76012424098622</v>
      </c>
    </row>
    <row r="202" spans="1:20" x14ac:dyDescent="0.25">
      <c r="A202" vm="2049">
        <f ca="1"/>
        <v>45218</v>
      </c>
      <c r="B202" vm="2050">
        <f ca="1"/>
        <v>175.46</v>
      </c>
      <c r="C202" vm="2051">
        <f ca="1"/>
        <v>331.32</v>
      </c>
      <c r="D202" vm="2052">
        <f ca="1"/>
        <v>137.75</v>
      </c>
      <c r="E202" vm="2053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30"/>
        <v>280736</v>
      </c>
      <c r="K202">
        <f t="shared" ca="1" si="31"/>
        <v>2451768</v>
      </c>
      <c r="L202">
        <f t="shared" ca="1" si="32"/>
        <v>1721875</v>
      </c>
      <c r="M202">
        <f t="shared" ca="1" si="33"/>
        <v>3284505</v>
      </c>
      <c r="N202">
        <f t="shared" ca="1" si="34"/>
        <v>7738884</v>
      </c>
      <c r="O202">
        <f t="shared" ca="1" si="35"/>
        <v>3.6276031531161337E-2</v>
      </c>
      <c r="P202">
        <f t="shared" ca="1" si="36"/>
        <v>0.31681157128082033</v>
      </c>
      <c r="Q202">
        <f t="shared" ca="1" si="37"/>
        <v>0.22249655118231518</v>
      </c>
      <c r="R202">
        <f t="shared" ca="1" si="38"/>
        <v>0.42441584600570315</v>
      </c>
      <c r="S202" cm="1">
        <f t="array" aca="1" ref="S202" ca="1">SUMPRODUCT(O201:R201*(B202:E202-B201:E201)/B201:E201)</f>
        <v>-4.8810294871582862E-3</v>
      </c>
      <c r="T202">
        <f t="shared" ca="1" si="39"/>
        <v>995.11897051284166</v>
      </c>
    </row>
    <row r="203" spans="1:20" x14ac:dyDescent="0.25">
      <c r="A203" vm="2054">
        <f ca="1"/>
        <v>45219</v>
      </c>
      <c r="B203" vm="352">
        <f ca="1"/>
        <v>172.88</v>
      </c>
      <c r="C203" vm="2055">
        <f ca="1"/>
        <v>326.67</v>
      </c>
      <c r="D203" vm="2056">
        <f ca="1"/>
        <v>135.6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30"/>
        <v>276608</v>
      </c>
      <c r="K203">
        <f t="shared" ca="1" si="31"/>
        <v>2417358</v>
      </c>
      <c r="L203">
        <f t="shared" ca="1" si="32"/>
        <v>1695000</v>
      </c>
      <c r="M203">
        <f t="shared" ca="1" si="33"/>
        <v>3240824.9999999995</v>
      </c>
      <c r="N203">
        <f t="shared" ca="1" si="34"/>
        <v>7629791</v>
      </c>
      <c r="O203">
        <f t="shared" ca="1" si="35"/>
        <v>3.62536798190147E-2</v>
      </c>
      <c r="P203">
        <f t="shared" ca="1" si="36"/>
        <v>0.31683148332634536</v>
      </c>
      <c r="Q203">
        <f t="shared" ca="1" si="37"/>
        <v>0.22215549547818544</v>
      </c>
      <c r="R203">
        <f t="shared" ca="1" si="38"/>
        <v>0.42475934137645444</v>
      </c>
      <c r="S203" cm="1">
        <f t="array" aca="1" ref="S203" ca="1">SUMPRODUCT(O202:R202*(B203:E203-B202:E202)/B202:E202)</f>
        <v>-1.4096735394922601E-2</v>
      </c>
      <c r="T203">
        <f t="shared" ca="1" si="39"/>
        <v>985.90326460507742</v>
      </c>
    </row>
    <row r="204" spans="1:20" x14ac:dyDescent="0.25">
      <c r="A204" vm="2057">
        <f ca="1"/>
        <v>45222</v>
      </c>
      <c r="B204" vm="2058">
        <f ca="1"/>
        <v>173</v>
      </c>
      <c r="C204" vm="2059">
        <f ca="1"/>
        <v>329.32</v>
      </c>
      <c r="D204" vm="2060">
        <f ca="1"/>
        <v>136.5</v>
      </c>
      <c r="E204" vm="2061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30"/>
        <v>276800</v>
      </c>
      <c r="K204">
        <f t="shared" ca="1" si="31"/>
        <v>2436968</v>
      </c>
      <c r="L204">
        <f t="shared" ca="1" si="32"/>
        <v>1706250</v>
      </c>
      <c r="M204">
        <f t="shared" ca="1" si="33"/>
        <v>3297105</v>
      </c>
      <c r="N204">
        <f t="shared" ca="1" si="34"/>
        <v>7717123</v>
      </c>
      <c r="O204">
        <f t="shared" ca="1" si="35"/>
        <v>3.5868289257538072E-2</v>
      </c>
      <c r="P204">
        <f t="shared" ca="1" si="36"/>
        <v>0.3157871139283383</v>
      </c>
      <c r="Q204">
        <f t="shared" ca="1" si="37"/>
        <v>0.22109923607541307</v>
      </c>
      <c r="R204">
        <f t="shared" ca="1" si="38"/>
        <v>0.4272453607387105</v>
      </c>
      <c r="S204" cm="1">
        <f t="array" aca="1" ref="S204" ca="1">SUMPRODUCT(O203:R203*(B204:E204-B203:E203)/B203:E203)</f>
        <v>1.1446185092094928E-2</v>
      </c>
      <c r="T204">
        <f t="shared" ca="1" si="39"/>
        <v>1011.4461850920949</v>
      </c>
    </row>
    <row r="205" spans="1:20" x14ac:dyDescent="0.25">
      <c r="A205" vm="2062">
        <f ca="1"/>
        <v>45223</v>
      </c>
      <c r="B205" vm="509">
        <f ca="1"/>
        <v>173.44</v>
      </c>
      <c r="C205" vm="2063">
        <f ca="1"/>
        <v>330.53</v>
      </c>
      <c r="D205" vm="2064">
        <f ca="1"/>
        <v>138.81</v>
      </c>
      <c r="E205" vm="2065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30"/>
        <v>277504</v>
      </c>
      <c r="K205">
        <f t="shared" ca="1" si="31"/>
        <v>2445922</v>
      </c>
      <c r="L205">
        <f t="shared" ca="1" si="32"/>
        <v>1735125</v>
      </c>
      <c r="M205">
        <f t="shared" ca="1" si="33"/>
        <v>3281775</v>
      </c>
      <c r="N205">
        <f t="shared" ca="1" si="34"/>
        <v>7740326</v>
      </c>
      <c r="O205">
        <f t="shared" ca="1" si="35"/>
        <v>3.5851719940477957E-2</v>
      </c>
      <c r="P205">
        <f t="shared" ca="1" si="36"/>
        <v>0.31599728486888018</v>
      </c>
      <c r="Q205">
        <f t="shared" ca="1" si="37"/>
        <v>0.22416691493355706</v>
      </c>
      <c r="R205">
        <f t="shared" ca="1" si="38"/>
        <v>0.42398408025708478</v>
      </c>
      <c r="S205" cm="1">
        <f t="array" aca="1" ref="S205" ca="1">SUMPRODUCT(O204:R204*(B205:E205-B204:E204)/B204:E204)</f>
        <v>3.0066904466859077E-3</v>
      </c>
      <c r="T205">
        <f t="shared" ca="1" si="39"/>
        <v>1003.0066904466859</v>
      </c>
    </row>
    <row r="206" spans="1:20" x14ac:dyDescent="0.25">
      <c r="A206" vm="2066">
        <f ca="1"/>
        <v>45224</v>
      </c>
      <c r="B206" vm="2067">
        <f ca="1"/>
        <v>171.1</v>
      </c>
      <c r="C206" vm="2068">
        <f ca="1"/>
        <v>340.67</v>
      </c>
      <c r="D206" vm="2069">
        <f ca="1"/>
        <v>125.61</v>
      </c>
      <c r="E206" vm="2070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30"/>
        <v>273760</v>
      </c>
      <c r="K206">
        <f t="shared" ca="1" si="31"/>
        <v>2520958</v>
      </c>
      <c r="L206">
        <f t="shared" ca="1" si="32"/>
        <v>1570125</v>
      </c>
      <c r="M206">
        <f t="shared" ca="1" si="33"/>
        <v>3145064.9999999995</v>
      </c>
      <c r="N206">
        <f t="shared" ca="1" si="34"/>
        <v>7509908</v>
      </c>
      <c r="O206">
        <f t="shared" ca="1" si="35"/>
        <v>3.645317625728571E-2</v>
      </c>
      <c r="P206">
        <f t="shared" ca="1" si="36"/>
        <v>0.33568427203102885</v>
      </c>
      <c r="Q206">
        <f t="shared" ca="1" si="37"/>
        <v>0.2090737995725114</v>
      </c>
      <c r="R206">
        <f t="shared" ca="1" si="38"/>
        <v>0.41878875213917394</v>
      </c>
      <c r="S206" cm="1">
        <f t="array" aca="1" ref="S206" ca="1">SUMPRODUCT(O205:R205*(B206:E206-B205:E205)/B205:E205)</f>
        <v>-2.9768513625911895E-2</v>
      </c>
      <c r="T206">
        <f t="shared" ca="1" si="39"/>
        <v>970.23148637408804</v>
      </c>
    </row>
    <row r="207" spans="1:20" x14ac:dyDescent="0.25">
      <c r="A207" vm="2071">
        <f ca="1"/>
        <v>45225</v>
      </c>
      <c r="B207" vm="2072">
        <f ca="1"/>
        <v>166.89</v>
      </c>
      <c r="C207" vm="2073">
        <f ca="1"/>
        <v>327.89</v>
      </c>
      <c r="D207" vm="2074">
        <f ca="1"/>
        <v>122.28</v>
      </c>
      <c r="E207" vm="2075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30"/>
        <v>267024</v>
      </c>
      <c r="K207">
        <f t="shared" ca="1" si="31"/>
        <v>2426386</v>
      </c>
      <c r="L207">
        <f t="shared" ca="1" si="32"/>
        <v>1528500</v>
      </c>
      <c r="M207">
        <f t="shared" ca="1" si="33"/>
        <v>3027675.0000000005</v>
      </c>
      <c r="N207">
        <f t="shared" ca="1" si="34"/>
        <v>7249585</v>
      </c>
      <c r="O207">
        <f t="shared" ca="1" si="35"/>
        <v>3.6833004923730116E-2</v>
      </c>
      <c r="P207">
        <f t="shared" ca="1" si="36"/>
        <v>0.33469308932856157</v>
      </c>
      <c r="Q207">
        <f t="shared" ca="1" si="37"/>
        <v>0.21083965495955975</v>
      </c>
      <c r="R207">
        <f t="shared" ca="1" si="38"/>
        <v>0.41763425078814864</v>
      </c>
      <c r="S207" cm="1">
        <f t="array" aca="1" ref="S207" ca="1">SUMPRODUCT(O206:R206*(B207:E207-B206:E206)/B206:E206)</f>
        <v>-3.4663939957719811E-2</v>
      </c>
      <c r="T207">
        <f t="shared" ca="1" si="39"/>
        <v>965.33606004228022</v>
      </c>
    </row>
    <row r="208" spans="1:20" x14ac:dyDescent="0.25">
      <c r="A208" vm="2076">
        <f ca="1"/>
        <v>45226</v>
      </c>
      <c r="B208" vm="2077">
        <f ca="1"/>
        <v>168.22</v>
      </c>
      <c r="C208" vm="2078">
        <f ca="1"/>
        <v>329.81</v>
      </c>
      <c r="D208" vm="2079">
        <f ca="1"/>
        <v>122.17</v>
      </c>
      <c r="E208" vm="2080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30"/>
        <v>269152</v>
      </c>
      <c r="K208">
        <f t="shared" ca="1" si="31"/>
        <v>2440594</v>
      </c>
      <c r="L208">
        <f t="shared" ca="1" si="32"/>
        <v>1527125</v>
      </c>
      <c r="M208">
        <f t="shared" ca="1" si="33"/>
        <v>3115665</v>
      </c>
      <c r="N208">
        <f t="shared" ca="1" si="34"/>
        <v>7352536</v>
      </c>
      <c r="O208">
        <f t="shared" ca="1" si="35"/>
        <v>3.6606689175000297E-2</v>
      </c>
      <c r="P208">
        <f t="shared" ca="1" si="36"/>
        <v>0.33193907517079824</v>
      </c>
      <c r="Q208">
        <f t="shared" ca="1" si="37"/>
        <v>0.20770044512532818</v>
      </c>
      <c r="R208">
        <f t="shared" ca="1" si="38"/>
        <v>0.4237537905288733</v>
      </c>
      <c r="S208" cm="1">
        <f t="array" aca="1" ref="S208" ca="1">SUMPRODUCT(O207:R207*(B208:E208-B207:E207)/B207:E207)</f>
        <v>1.4200950813046554E-2</v>
      </c>
      <c r="T208">
        <f t="shared" ca="1" si="39"/>
        <v>1014.2009508130465</v>
      </c>
    </row>
    <row r="209" spans="1:20" x14ac:dyDescent="0.25">
      <c r="A209" vm="2081">
        <f ca="1"/>
        <v>45229</v>
      </c>
      <c r="B209" vm="2082">
        <f ca="1"/>
        <v>170.29</v>
      </c>
      <c r="C209" vm="2083">
        <f ca="1"/>
        <v>337.31</v>
      </c>
      <c r="D209" vm="2084">
        <f ca="1"/>
        <v>124.46</v>
      </c>
      <c r="E209" vm="2085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30"/>
        <v>272464</v>
      </c>
      <c r="K209">
        <f t="shared" ca="1" si="31"/>
        <v>2496094</v>
      </c>
      <c r="L209">
        <f t="shared" ca="1" si="32"/>
        <v>1555750</v>
      </c>
      <c r="M209">
        <f t="shared" ca="1" si="33"/>
        <v>3177930.0000000005</v>
      </c>
      <c r="N209">
        <f t="shared" ca="1" si="34"/>
        <v>7502238</v>
      </c>
      <c r="O209">
        <f t="shared" ca="1" si="35"/>
        <v>3.6317696132807303E-2</v>
      </c>
      <c r="P209">
        <f t="shared" ca="1" si="36"/>
        <v>0.33271325169902632</v>
      </c>
      <c r="Q209">
        <f t="shared" ca="1" si="37"/>
        <v>0.20737145369155177</v>
      </c>
      <c r="R209">
        <f t="shared" ca="1" si="38"/>
        <v>0.42359759847661466</v>
      </c>
      <c r="S209" cm="1">
        <f t="array" aca="1" ref="S209" ca="1">SUMPRODUCT(O208:R208*(B209:E209-B208:E208)/B208:E208)</f>
        <v>2.0360593950169023E-2</v>
      </c>
      <c r="T209">
        <f t="shared" ca="1" si="39"/>
        <v>1020.360593950169</v>
      </c>
    </row>
    <row r="210" spans="1:20" x14ac:dyDescent="0.25">
      <c r="A210" vm="2086">
        <f ca="1"/>
        <v>45230</v>
      </c>
      <c r="B210" vm="2087">
        <f ca="1"/>
        <v>170.77</v>
      </c>
      <c r="C210" vm="2088">
        <f ca="1"/>
        <v>338.11</v>
      </c>
      <c r="D210" vm="2089">
        <f ca="1"/>
        <v>124.08</v>
      </c>
      <c r="E210" vm="2090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30"/>
        <v>273232</v>
      </c>
      <c r="K210">
        <f t="shared" ca="1" si="31"/>
        <v>2502014</v>
      </c>
      <c r="L210">
        <f t="shared" ca="1" si="32"/>
        <v>1551000</v>
      </c>
      <c r="M210">
        <f t="shared" ca="1" si="33"/>
        <v>3163335</v>
      </c>
      <c r="N210">
        <f t="shared" ca="1" si="34"/>
        <v>7489581</v>
      </c>
      <c r="O210">
        <f t="shared" ca="1" si="35"/>
        <v>3.648161359093386E-2</v>
      </c>
      <c r="P210">
        <f t="shared" ca="1" si="36"/>
        <v>0.33406595108591525</v>
      </c>
      <c r="Q210">
        <f t="shared" ca="1" si="37"/>
        <v>0.20708768621368806</v>
      </c>
      <c r="R210">
        <f t="shared" ca="1" si="38"/>
        <v>0.42236474910946287</v>
      </c>
      <c r="S210" cm="1">
        <f t="array" aca="1" ref="S210" ca="1">SUMPRODUCT(O209:R209*(B210:E210-B209:E209)/B209:E209)</f>
        <v>-1.6870965703834357E-3</v>
      </c>
      <c r="T210">
        <f t="shared" ca="1" si="39"/>
        <v>998.31290342961654</v>
      </c>
    </row>
    <row r="211" spans="1:20" x14ac:dyDescent="0.25">
      <c r="A211" vm="2091">
        <f ca="1"/>
        <v>45231</v>
      </c>
      <c r="B211" vm="2092">
        <f ca="1"/>
        <v>173.97</v>
      </c>
      <c r="C211" vm="2093">
        <f ca="1"/>
        <v>346.07</v>
      </c>
      <c r="D211" vm="2094">
        <f ca="1"/>
        <v>126.45</v>
      </c>
      <c r="E211" vm="2095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30"/>
        <v>278352</v>
      </c>
      <c r="K211">
        <f t="shared" ca="1" si="31"/>
        <v>2560918</v>
      </c>
      <c r="L211">
        <f t="shared" ca="1" si="32"/>
        <v>1580625</v>
      </c>
      <c r="M211">
        <f t="shared" ca="1" si="33"/>
        <v>3274425.0000000005</v>
      </c>
      <c r="N211">
        <f t="shared" ca="1" si="34"/>
        <v>7694320</v>
      </c>
      <c r="O211">
        <f t="shared" ca="1" si="35"/>
        <v>3.6176296280892917E-2</v>
      </c>
      <c r="P211">
        <f t="shared" ca="1" si="36"/>
        <v>0.33283227107788604</v>
      </c>
      <c r="Q211">
        <f t="shared" ca="1" si="37"/>
        <v>0.20542751016334126</v>
      </c>
      <c r="R211">
        <f t="shared" ca="1" si="38"/>
        <v>0.42556392247787983</v>
      </c>
      <c r="S211" cm="1">
        <f t="array" aca="1" ref="S211" ca="1">SUMPRODUCT(O210:R210*(B211:E211-B210:E210)/B210:E210)</f>
        <v>2.7336509211930593E-2</v>
      </c>
      <c r="T211">
        <f t="shared" ca="1" si="39"/>
        <v>1027.3365092119307</v>
      </c>
    </row>
    <row r="212" spans="1:20" x14ac:dyDescent="0.25">
      <c r="A212" vm="2096">
        <f ca="1"/>
        <v>45232</v>
      </c>
      <c r="B212" vm="2097">
        <f ca="1"/>
        <v>177.57</v>
      </c>
      <c r="C212" vm="2098">
        <f ca="1"/>
        <v>348.32</v>
      </c>
      <c r="D212" vm="2099">
        <f ca="1"/>
        <v>127.49</v>
      </c>
      <c r="E212" vm="2100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30"/>
        <v>284112</v>
      </c>
      <c r="K212">
        <f t="shared" ca="1" si="31"/>
        <v>2577568</v>
      </c>
      <c r="L212">
        <f t="shared" ca="1" si="32"/>
        <v>1593625</v>
      </c>
      <c r="M212">
        <f t="shared" ca="1" si="33"/>
        <v>3264135</v>
      </c>
      <c r="N212">
        <f t="shared" ca="1" si="34"/>
        <v>7719440</v>
      </c>
      <c r="O212">
        <f t="shared" ca="1" si="35"/>
        <v>3.6804742312913891E-2</v>
      </c>
      <c r="P212">
        <f t="shared" ca="1" si="36"/>
        <v>0.33390608645186698</v>
      </c>
      <c r="Q212">
        <f t="shared" ca="1" si="37"/>
        <v>0.20644308395427646</v>
      </c>
      <c r="R212">
        <f t="shared" ca="1" si="38"/>
        <v>0.42284608728094264</v>
      </c>
      <c r="S212" cm="1">
        <f t="array" aca="1" ref="S212" ca="1">SUMPRODUCT(O211:R211*(B212:E212-B211:E211)/B211:E211)</f>
        <v>3.2647459424614131E-3</v>
      </c>
      <c r="T212">
        <f t="shared" ca="1" si="39"/>
        <v>1003.2647459424616</v>
      </c>
    </row>
    <row r="213" spans="1:20" x14ac:dyDescent="0.25">
      <c r="A213" vm="2101">
        <f ca="1"/>
        <v>45233</v>
      </c>
      <c r="B213" vm="2102">
        <f ca="1"/>
        <v>176.65</v>
      </c>
      <c r="C213" vm="2103">
        <f ca="1"/>
        <v>352.8</v>
      </c>
      <c r="D213" vm="2104">
        <f ca="1"/>
        <v>129.1</v>
      </c>
      <c r="E213" vm="2105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30"/>
        <v>282640</v>
      </c>
      <c r="K213">
        <f t="shared" ca="1" si="31"/>
        <v>2610720</v>
      </c>
      <c r="L213">
        <f t="shared" ca="1" si="32"/>
        <v>1613750</v>
      </c>
      <c r="M213">
        <f t="shared" ca="1" si="33"/>
        <v>3303300.0000000005</v>
      </c>
      <c r="N213">
        <f t="shared" ca="1" si="34"/>
        <v>7810410</v>
      </c>
      <c r="O213">
        <f t="shared" ca="1" si="35"/>
        <v>3.6187600906994639E-2</v>
      </c>
      <c r="P213">
        <f t="shared" ca="1" si="36"/>
        <v>0.33426158165832526</v>
      </c>
      <c r="Q213">
        <f t="shared" ca="1" si="37"/>
        <v>0.20661527371802504</v>
      </c>
      <c r="R213">
        <f t="shared" ca="1" si="38"/>
        <v>0.42293554371665515</v>
      </c>
      <c r="S213" cm="1">
        <f t="array" aca="1" ref="S213" ca="1">SUMPRODUCT(O212:R212*(B213:E213-B212:E212)/B212:E212)</f>
        <v>1.1784533593110425E-2</v>
      </c>
      <c r="T213">
        <f t="shared" ca="1" si="39"/>
        <v>1011.7845335931104</v>
      </c>
    </row>
    <row r="214" spans="1:20" x14ac:dyDescent="0.25">
      <c r="A214" vm="2106">
        <f ca="1"/>
        <v>45236</v>
      </c>
      <c r="B214" vm="2107">
        <f ca="1"/>
        <v>179.23</v>
      </c>
      <c r="C214" vm="2108">
        <f ca="1"/>
        <v>356.53</v>
      </c>
      <c r="D214" vm="1921">
        <f ca="1"/>
        <v>130.25</v>
      </c>
      <c r="E214" vm="2109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30"/>
        <v>286768</v>
      </c>
      <c r="K214">
        <f t="shared" ca="1" si="31"/>
        <v>2638322</v>
      </c>
      <c r="L214">
        <f t="shared" ca="1" si="32"/>
        <v>1628125</v>
      </c>
      <c r="M214">
        <f t="shared" ca="1" si="33"/>
        <v>3315900</v>
      </c>
      <c r="N214">
        <f t="shared" ca="1" si="34"/>
        <v>7869115</v>
      </c>
      <c r="O214">
        <f t="shared" ca="1" si="35"/>
        <v>3.6442217453932238E-2</v>
      </c>
      <c r="P214">
        <f t="shared" ca="1" si="36"/>
        <v>0.33527556783704393</v>
      </c>
      <c r="Q214">
        <f t="shared" ca="1" si="37"/>
        <v>0.20690064892939042</v>
      </c>
      <c r="R214">
        <f t="shared" ca="1" si="38"/>
        <v>0.42138156577963343</v>
      </c>
      <c r="S214" cm="1">
        <f t="array" aca="1" ref="S214" ca="1">SUMPRODUCT(O213:R213*(B214:E214-B213:E213)/B213:E213)</f>
        <v>7.5162507473998984E-3</v>
      </c>
      <c r="T214">
        <f t="shared" ca="1" si="39"/>
        <v>1007.5162507473998</v>
      </c>
    </row>
    <row r="215" spans="1:20" x14ac:dyDescent="0.25">
      <c r="A215" vm="2110">
        <f ca="1"/>
        <v>45237</v>
      </c>
      <c r="B215" vm="2111">
        <f ca="1"/>
        <v>181.82</v>
      </c>
      <c r="C215" vm="2112">
        <f ca="1"/>
        <v>360.53</v>
      </c>
      <c r="D215" vm="2113">
        <f ca="1"/>
        <v>130.97</v>
      </c>
      <c r="E215" vm="2114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30"/>
        <v>290912</v>
      </c>
      <c r="K215">
        <f t="shared" ca="1" si="31"/>
        <v>2667922</v>
      </c>
      <c r="L215">
        <f t="shared" ca="1" si="32"/>
        <v>1637125</v>
      </c>
      <c r="M215">
        <f t="shared" ca="1" si="33"/>
        <v>3347610</v>
      </c>
      <c r="N215">
        <f t="shared" ca="1" si="34"/>
        <v>7943569</v>
      </c>
      <c r="O215">
        <f t="shared" ca="1" si="35"/>
        <v>3.6622329333326119E-2</v>
      </c>
      <c r="P215">
        <f t="shared" ca="1" si="36"/>
        <v>0.33585935994261523</v>
      </c>
      <c r="Q215">
        <f t="shared" ca="1" si="37"/>
        <v>0.20609438905862087</v>
      </c>
      <c r="R215">
        <f t="shared" ca="1" si="38"/>
        <v>0.4214239216654378</v>
      </c>
      <c r="S215" cm="1">
        <f t="array" aca="1" ref="S215" ca="1">SUMPRODUCT(O214:R214*(B215:E215-B214:E214)/B214:E214)</f>
        <v>9.4615468194326549E-3</v>
      </c>
      <c r="T215">
        <f t="shared" ca="1" si="39"/>
        <v>1009.4615468194326</v>
      </c>
    </row>
    <row r="216" spans="1:20" x14ac:dyDescent="0.25">
      <c r="A216" vm="2115">
        <f ca="1"/>
        <v>45238</v>
      </c>
      <c r="B216" vm="2116">
        <f ca="1"/>
        <v>182.89</v>
      </c>
      <c r="C216" vm="2117">
        <f ca="1"/>
        <v>363.2</v>
      </c>
      <c r="D216" vm="1725">
        <f ca="1"/>
        <v>131.84</v>
      </c>
      <c r="E216" vm="2118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30"/>
        <v>292624</v>
      </c>
      <c r="K216">
        <f t="shared" ca="1" si="31"/>
        <v>2687680</v>
      </c>
      <c r="L216">
        <f t="shared" ca="1" si="32"/>
        <v>1648000</v>
      </c>
      <c r="M216">
        <f t="shared" ca="1" si="33"/>
        <v>3357689.9999999995</v>
      </c>
      <c r="N216">
        <f t="shared" ca="1" si="34"/>
        <v>7985994</v>
      </c>
      <c r="O216">
        <f t="shared" ca="1" si="35"/>
        <v>3.6642151246294448E-2</v>
      </c>
      <c r="P216">
        <f t="shared" ca="1" si="36"/>
        <v>0.33654921353559747</v>
      </c>
      <c r="Q216">
        <f t="shared" ca="1" si="37"/>
        <v>0.20636128702325596</v>
      </c>
      <c r="R216">
        <f t="shared" ca="1" si="38"/>
        <v>0.42044734819485208</v>
      </c>
      <c r="S216" cm="1">
        <f t="array" aca="1" ref="S216" ca="1">SUMPRODUCT(O215:R215*(B216:E216-B215:E215)/B215:E215)</f>
        <v>5.3407983237761204E-3</v>
      </c>
      <c r="T216">
        <f t="shared" ca="1" si="39"/>
        <v>1005.3407983237761</v>
      </c>
    </row>
    <row r="217" spans="1:20" x14ac:dyDescent="0.25">
      <c r="A217" vm="2119">
        <f ca="1"/>
        <v>45239</v>
      </c>
      <c r="B217" vm="2120">
        <f ca="1"/>
        <v>182.41</v>
      </c>
      <c r="C217" vm="2121">
        <f ca="1"/>
        <v>360.69</v>
      </c>
      <c r="D217" vm="2122">
        <f ca="1"/>
        <v>130.24</v>
      </c>
      <c r="E217" vm="2123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30"/>
        <v>291856</v>
      </c>
      <c r="K217">
        <f t="shared" ca="1" si="31"/>
        <v>2669106</v>
      </c>
      <c r="L217">
        <f t="shared" ca="1" si="32"/>
        <v>1628000</v>
      </c>
      <c r="M217">
        <f t="shared" ca="1" si="33"/>
        <v>3365775</v>
      </c>
      <c r="N217">
        <f t="shared" ca="1" si="34"/>
        <v>7954737</v>
      </c>
      <c r="O217">
        <f t="shared" ca="1" si="35"/>
        <v>3.6689585086219695E-2</v>
      </c>
      <c r="P217">
        <f t="shared" ca="1" si="36"/>
        <v>0.33553667456259084</v>
      </c>
      <c r="Q217">
        <f t="shared" ca="1" si="37"/>
        <v>0.20465792897992729</v>
      </c>
      <c r="R217">
        <f t="shared" ca="1" si="38"/>
        <v>0.4231158113712622</v>
      </c>
      <c r="S217" cm="1">
        <f t="array" aca="1" ref="S217" ca="1">SUMPRODUCT(O216:R216*(B217:E217-B216:E216)/B216:E216)</f>
        <v>-3.9139773959258476E-3</v>
      </c>
      <c r="T217">
        <f t="shared" ca="1" si="39"/>
        <v>996.08602260407417</v>
      </c>
    </row>
    <row r="218" spans="1:20" x14ac:dyDescent="0.25">
      <c r="A218" vm="2124">
        <f ca="1"/>
        <v>45240</v>
      </c>
      <c r="B218" vm="2125">
        <f ca="1"/>
        <v>186.4</v>
      </c>
      <c r="C218" vm="2126">
        <f ca="1"/>
        <v>369.67</v>
      </c>
      <c r="D218" vm="2127">
        <f ca="1"/>
        <v>132.59</v>
      </c>
      <c r="E218" vm="2128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30"/>
        <v>298240</v>
      </c>
      <c r="K218">
        <f t="shared" ca="1" si="31"/>
        <v>2735558</v>
      </c>
      <c r="L218">
        <f t="shared" ca="1" si="32"/>
        <v>1657375</v>
      </c>
      <c r="M218">
        <f t="shared" ca="1" si="33"/>
        <v>3452085</v>
      </c>
      <c r="N218">
        <f t="shared" ca="1" si="34"/>
        <v>8143258</v>
      </c>
      <c r="O218">
        <f t="shared" ca="1" si="35"/>
        <v>3.6624161975464857E-2</v>
      </c>
      <c r="P218">
        <f t="shared" ca="1" si="36"/>
        <v>0.33592918215289264</v>
      </c>
      <c r="Q218">
        <f t="shared" ca="1" si="37"/>
        <v>0.20352726144744523</v>
      </c>
      <c r="R218">
        <f t="shared" ca="1" si="38"/>
        <v>0.42391939442419729</v>
      </c>
      <c r="S218" cm="1">
        <f t="array" aca="1" ref="S218" ca="1">SUMPRODUCT(O217:R217*(B218:E218-B217:E217)/B217:E217)</f>
        <v>2.3699212180113532E-2</v>
      </c>
      <c r="T218">
        <f t="shared" ca="1" si="39"/>
        <v>1023.6992121801136</v>
      </c>
    </row>
    <row r="219" spans="1:20" x14ac:dyDescent="0.25">
      <c r="A219" vm="2129">
        <f ca="1"/>
        <v>45243</v>
      </c>
      <c r="B219" vm="2130">
        <f ca="1"/>
        <v>184.8</v>
      </c>
      <c r="C219" vm="2131">
        <f ca="1"/>
        <v>366.68</v>
      </c>
      <c r="D219" vm="2132">
        <f ca="1"/>
        <v>132.09</v>
      </c>
      <c r="E219" vm="2133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30"/>
        <v>295680</v>
      </c>
      <c r="K219">
        <f t="shared" ca="1" si="31"/>
        <v>2713432</v>
      </c>
      <c r="L219">
        <f t="shared" ca="1" si="32"/>
        <v>1651125</v>
      </c>
      <c r="M219">
        <f t="shared" ca="1" si="33"/>
        <v>3456495</v>
      </c>
      <c r="N219">
        <f t="shared" ca="1" si="34"/>
        <v>8116732</v>
      </c>
      <c r="O219">
        <f t="shared" ca="1" si="35"/>
        <v>3.6428454210389108E-2</v>
      </c>
      <c r="P219">
        <f t="shared" ca="1" si="36"/>
        <v>0.33430104628315926</v>
      </c>
      <c r="Q219">
        <f t="shared" ca="1" si="37"/>
        <v>0.20342238723663661</v>
      </c>
      <c r="R219">
        <f t="shared" ca="1" si="38"/>
        <v>0.425848112269815</v>
      </c>
      <c r="S219" cm="1">
        <f t="array" aca="1" ref="S219" ca="1">SUMPRODUCT(O218:R218*(B219:E219-B218:E218)/B218:E218)</f>
        <v>-3.2574185909374225E-3</v>
      </c>
      <c r="T219">
        <f t="shared" ca="1" si="39"/>
        <v>996.74258140906261</v>
      </c>
    </row>
    <row r="220" spans="1:20" x14ac:dyDescent="0.25">
      <c r="A220" vm="2134">
        <f ca="1"/>
        <v>45244</v>
      </c>
      <c r="B220" vm="2135">
        <f ca="1"/>
        <v>187.44</v>
      </c>
      <c r="C220" vm="2136">
        <f ca="1"/>
        <v>370.27</v>
      </c>
      <c r="D220" vm="2137">
        <f ca="1"/>
        <v>133.62</v>
      </c>
      <c r="E220" vm="2138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30"/>
        <v>299904</v>
      </c>
      <c r="K220">
        <f t="shared" ca="1" si="31"/>
        <v>2739998</v>
      </c>
      <c r="L220">
        <f t="shared" ca="1" si="32"/>
        <v>1670250</v>
      </c>
      <c r="M220">
        <f t="shared" ca="1" si="33"/>
        <v>3531255</v>
      </c>
      <c r="N220">
        <f t="shared" ca="1" si="34"/>
        <v>8241407</v>
      </c>
      <c r="O220">
        <f t="shared" ca="1" si="35"/>
        <v>3.6389902840619326E-2</v>
      </c>
      <c r="P220">
        <f t="shared" ca="1" si="36"/>
        <v>0.3324672595346887</v>
      </c>
      <c r="Q220">
        <f t="shared" ca="1" si="37"/>
        <v>0.2026656370690102</v>
      </c>
      <c r="R220">
        <f t="shared" ca="1" si="38"/>
        <v>0.42847720055568184</v>
      </c>
      <c r="S220" cm="1">
        <f t="array" aca="1" ref="S220" ca="1">SUMPRODUCT(O219:R219*(B220:E220-B219:E219)/B219:E219)</f>
        <v>1.536024597091537E-2</v>
      </c>
      <c r="T220">
        <f t="shared" ca="1" si="39"/>
        <v>1015.3602459709155</v>
      </c>
    </row>
    <row r="221" spans="1:20" x14ac:dyDescent="0.25">
      <c r="A221" vm="2139">
        <f ca="1"/>
        <v>45245</v>
      </c>
      <c r="B221" vm="2140">
        <f ca="1"/>
        <v>188.01</v>
      </c>
      <c r="C221" vm="2126">
        <f ca="1"/>
        <v>369.67</v>
      </c>
      <c r="D221" vm="528">
        <f ca="1"/>
        <v>134.62</v>
      </c>
      <c r="E221" vm="2141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30"/>
        <v>300816</v>
      </c>
      <c r="K221">
        <f t="shared" ca="1" si="31"/>
        <v>2735558</v>
      </c>
      <c r="L221">
        <f t="shared" ca="1" si="32"/>
        <v>1682750</v>
      </c>
      <c r="M221">
        <f t="shared" ca="1" si="33"/>
        <v>3493455</v>
      </c>
      <c r="N221">
        <f t="shared" ca="1" si="34"/>
        <v>8212579</v>
      </c>
      <c r="O221">
        <f t="shared" ca="1" si="35"/>
        <v>3.662868874686015E-2</v>
      </c>
      <c r="P221">
        <f t="shared" ca="1" si="36"/>
        <v>0.33309366034713334</v>
      </c>
      <c r="Q221">
        <f t="shared" ca="1" si="37"/>
        <v>0.20489909442575835</v>
      </c>
      <c r="R221">
        <f t="shared" ca="1" si="38"/>
        <v>0.42537855648024819</v>
      </c>
      <c r="S221" cm="1">
        <f t="array" aca="1" ref="S221" ca="1">SUMPRODUCT(O220:R220*(B221:E221-B220:E220)/B220:E220)</f>
        <v>-3.4979464064813209E-3</v>
      </c>
      <c r="T221">
        <f t="shared" ca="1" si="39"/>
        <v>996.50205359351878</v>
      </c>
    </row>
    <row r="222" spans="1:20" x14ac:dyDescent="0.25">
      <c r="A222" vm="2142">
        <f ca="1"/>
        <v>45246</v>
      </c>
      <c r="B222" vm="2143">
        <f ca="1"/>
        <v>189.71</v>
      </c>
      <c r="C222" vm="2144">
        <f ca="1"/>
        <v>376.17</v>
      </c>
      <c r="D222" vm="2145">
        <f ca="1"/>
        <v>136.93</v>
      </c>
      <c r="E222" vm="2146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30"/>
        <v>303536</v>
      </c>
      <c r="K222">
        <f t="shared" ca="1" si="31"/>
        <v>2783658</v>
      </c>
      <c r="L222">
        <f t="shared" ca="1" si="32"/>
        <v>1711625</v>
      </c>
      <c r="M222">
        <f t="shared" ca="1" si="33"/>
        <v>3508995</v>
      </c>
      <c r="N222">
        <f t="shared" ca="1" si="34"/>
        <v>8307814</v>
      </c>
      <c r="O222">
        <f t="shared" ca="1" si="35"/>
        <v>3.6536205552989032E-2</v>
      </c>
      <c r="P222">
        <f t="shared" ca="1" si="36"/>
        <v>0.33506503636215257</v>
      </c>
      <c r="Q222">
        <f t="shared" ca="1" si="37"/>
        <v>0.20602591728702641</v>
      </c>
      <c r="R222">
        <f t="shared" ca="1" si="38"/>
        <v>0.42237284079783199</v>
      </c>
      <c r="S222" cm="1">
        <f t="array" aca="1" ref="S222" ca="1">SUMPRODUCT(O221:R221*(B222:E222-B221:E221)/B221:E221)</f>
        <v>1.1596235482179258E-2</v>
      </c>
      <c r="T222">
        <f t="shared" ca="1" si="39"/>
        <v>1011.5962354821793</v>
      </c>
    </row>
    <row r="223" spans="1:20" x14ac:dyDescent="0.25">
      <c r="A223" vm="2147">
        <f ca="1"/>
        <v>45247</v>
      </c>
      <c r="B223" vm="2148">
        <f ca="1"/>
        <v>189.69</v>
      </c>
      <c r="C223" vm="2149">
        <f ca="1"/>
        <v>369.85</v>
      </c>
      <c r="D223" vm="2150">
        <f ca="1"/>
        <v>135.31</v>
      </c>
      <c r="E223" vm="2151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30"/>
        <v>303504</v>
      </c>
      <c r="K223">
        <f t="shared" ca="1" si="31"/>
        <v>2736890</v>
      </c>
      <c r="L223">
        <f t="shared" ca="1" si="32"/>
        <v>1691375</v>
      </c>
      <c r="M223">
        <f t="shared" ca="1" si="33"/>
        <v>3517920</v>
      </c>
      <c r="N223">
        <f t="shared" ca="1" si="34"/>
        <v>8249689</v>
      </c>
      <c r="O223">
        <f t="shared" ca="1" si="35"/>
        <v>3.6789750498473335E-2</v>
      </c>
      <c r="P223">
        <f t="shared" ca="1" si="36"/>
        <v>0.33175674864834298</v>
      </c>
      <c r="Q223">
        <f t="shared" ca="1" si="37"/>
        <v>0.20502288025645574</v>
      </c>
      <c r="R223">
        <f t="shared" ca="1" si="38"/>
        <v>0.42643062059672793</v>
      </c>
      <c r="S223" cm="1">
        <f t="array" aca="1" ref="S223" ca="1">SUMPRODUCT(O222:R222*(B223:E223-B222:E222)/B222:E222)</f>
        <v>-6.9964252931035489E-3</v>
      </c>
      <c r="T223">
        <f t="shared" ca="1" si="39"/>
        <v>993.00357470689653</v>
      </c>
    </row>
    <row r="224" spans="1:20" x14ac:dyDescent="0.25">
      <c r="A224" vm="2152">
        <f ca="1"/>
        <v>45250</v>
      </c>
      <c r="B224" vm="2153">
        <f ca="1"/>
        <v>191.45</v>
      </c>
      <c r="C224" vm="2154">
        <f ca="1"/>
        <v>377.44</v>
      </c>
      <c r="D224" vm="2155">
        <f ca="1"/>
        <v>136.25</v>
      </c>
      <c r="E224" vm="2156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30"/>
        <v>306320</v>
      </c>
      <c r="K224">
        <f t="shared" ca="1" si="31"/>
        <v>2793056</v>
      </c>
      <c r="L224">
        <f t="shared" ca="1" si="32"/>
        <v>1703125</v>
      </c>
      <c r="M224">
        <f t="shared" ca="1" si="33"/>
        <v>3569685.0000000005</v>
      </c>
      <c r="N224">
        <f t="shared" ca="1" si="34"/>
        <v>8372186</v>
      </c>
      <c r="O224">
        <f t="shared" ca="1" si="35"/>
        <v>3.6587815894200154E-2</v>
      </c>
      <c r="P224">
        <f t="shared" ca="1" si="36"/>
        <v>0.33361131728320415</v>
      </c>
      <c r="Q224">
        <f t="shared" ca="1" si="37"/>
        <v>0.20342656027947778</v>
      </c>
      <c r="R224">
        <f t="shared" ca="1" si="38"/>
        <v>0.42637430654311792</v>
      </c>
      <c r="S224" cm="1">
        <f t="array" aca="1" ref="S224" ca="1">SUMPRODUCT(O223:R223*(B224:E224-B223:E223)/B223:E223)</f>
        <v>1.484868096239747E-2</v>
      </c>
      <c r="T224">
        <f t="shared" ca="1" si="39"/>
        <v>1014.8486809623976</v>
      </c>
    </row>
    <row r="225" spans="1:20" x14ac:dyDescent="0.25">
      <c r="A225" vm="2157">
        <f ca="1"/>
        <v>45251</v>
      </c>
      <c r="B225" vm="2158">
        <f ca="1"/>
        <v>190.64</v>
      </c>
      <c r="C225" vm="2159">
        <f ca="1"/>
        <v>373.07</v>
      </c>
      <c r="D225" vm="2160">
        <f ca="1"/>
        <v>136.97</v>
      </c>
      <c r="E225" vm="2161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30"/>
        <v>305024</v>
      </c>
      <c r="K225">
        <f t="shared" ca="1" si="31"/>
        <v>2760718</v>
      </c>
      <c r="L225">
        <f t="shared" ca="1" si="32"/>
        <v>1712125</v>
      </c>
      <c r="M225">
        <f t="shared" ca="1" si="33"/>
        <v>3538290</v>
      </c>
      <c r="N225">
        <f t="shared" ca="1" si="34"/>
        <v>8316157</v>
      </c>
      <c r="O225">
        <f t="shared" ca="1" si="35"/>
        <v>3.6678480216282595E-2</v>
      </c>
      <c r="P225">
        <f t="shared" ca="1" si="36"/>
        <v>0.33197040411815215</v>
      </c>
      <c r="Q225">
        <f t="shared" ca="1" si="37"/>
        <v>0.20587935028162649</v>
      </c>
      <c r="R225">
        <f t="shared" ca="1" si="38"/>
        <v>0.42547176538393877</v>
      </c>
      <c r="S225" cm="1">
        <f t="array" aca="1" ref="S225" ca="1">SUMPRODUCT(O224:R224*(B225:E225-B224:E224)/B224:E224)</f>
        <v>-6.6922784563076057E-3</v>
      </c>
      <c r="T225">
        <f t="shared" ca="1" si="39"/>
        <v>993.30772154369242</v>
      </c>
    </row>
    <row r="226" spans="1:20" x14ac:dyDescent="0.25">
      <c r="A226" vm="2162">
        <f ca="1"/>
        <v>45252</v>
      </c>
      <c r="B226" vm="2163">
        <f ca="1"/>
        <v>191.31</v>
      </c>
      <c r="C226" vm="2164">
        <f ca="1"/>
        <v>377.85</v>
      </c>
      <c r="D226" vm="2165">
        <f ca="1"/>
        <v>138.49</v>
      </c>
      <c r="E226" vm="2166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30"/>
        <v>306096</v>
      </c>
      <c r="K226">
        <f t="shared" ca="1" si="31"/>
        <v>2796090</v>
      </c>
      <c r="L226">
        <f t="shared" ca="1" si="32"/>
        <v>1731125</v>
      </c>
      <c r="M226">
        <f t="shared" ca="1" si="33"/>
        <v>3585645</v>
      </c>
      <c r="N226">
        <f t="shared" ca="1" si="34"/>
        <v>8418956</v>
      </c>
      <c r="O226">
        <f t="shared" ca="1" si="35"/>
        <v>3.6357952221154261E-2</v>
      </c>
      <c r="P226">
        <f t="shared" ca="1" si="36"/>
        <v>0.33211837667283212</v>
      </c>
      <c r="Q226">
        <f t="shared" ca="1" si="37"/>
        <v>0.20562228855929404</v>
      </c>
      <c r="R226">
        <f t="shared" ca="1" si="38"/>
        <v>0.42590138254671955</v>
      </c>
      <c r="S226" cm="1">
        <f t="array" aca="1" ref="S226" ca="1">SUMPRODUCT(O225:R225*(B226:E226-B225:E225)/B225:E225)</f>
        <v>1.2361358738176814E-2</v>
      </c>
      <c r="T226">
        <f t="shared" ca="1" si="39"/>
        <v>1012.3613587381768</v>
      </c>
    </row>
    <row r="227" spans="1:20" x14ac:dyDescent="0.25">
      <c r="A227" vm="2167">
        <f ca="1"/>
        <v>45254</v>
      </c>
      <c r="B227" vm="2168">
        <f ca="1"/>
        <v>189.97</v>
      </c>
      <c r="C227" vm="2169">
        <f ca="1"/>
        <v>377.43</v>
      </c>
      <c r="D227" vm="2170">
        <f ca="1"/>
        <v>136.69</v>
      </c>
      <c r="E227" vm="2171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30"/>
        <v>303952</v>
      </c>
      <c r="K227">
        <f t="shared" ca="1" si="31"/>
        <v>2792982</v>
      </c>
      <c r="L227">
        <f t="shared" ca="1" si="32"/>
        <v>1708625</v>
      </c>
      <c r="M227">
        <f t="shared" ca="1" si="33"/>
        <v>3551415</v>
      </c>
      <c r="N227">
        <f t="shared" ca="1" si="34"/>
        <v>8356974</v>
      </c>
      <c r="O227">
        <f t="shared" ca="1" si="35"/>
        <v>3.6371059668248343E-2</v>
      </c>
      <c r="P227">
        <f t="shared" ca="1" si="36"/>
        <v>0.33420972710935798</v>
      </c>
      <c r="Q227">
        <f t="shared" ca="1" si="37"/>
        <v>0.20445498574005375</v>
      </c>
      <c r="R227">
        <f t="shared" ca="1" si="38"/>
        <v>0.42496422748233992</v>
      </c>
      <c r="S227" cm="1">
        <f t="array" aca="1" ref="S227" ca="1">SUMPRODUCT(O226:R226*(B227:E227-B226:E226)/B226:E226)</f>
        <v>-7.3621955026252853E-3</v>
      </c>
      <c r="T227">
        <f t="shared" ca="1" si="39"/>
        <v>992.63780449737476</v>
      </c>
    </row>
    <row r="228" spans="1:20" x14ac:dyDescent="0.25">
      <c r="A228" vm="2172">
        <f ca="1"/>
        <v>45257</v>
      </c>
      <c r="B228" vm="2173">
        <f ca="1"/>
        <v>189.79</v>
      </c>
      <c r="C228" vm="2174">
        <f ca="1"/>
        <v>378.61</v>
      </c>
      <c r="D228" vm="947">
        <f ca="1"/>
        <v>136.41</v>
      </c>
      <c r="E228" vm="2175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30"/>
        <v>303664</v>
      </c>
      <c r="K228">
        <f t="shared" ca="1" si="31"/>
        <v>2801714</v>
      </c>
      <c r="L228">
        <f t="shared" ca="1" si="32"/>
        <v>1705125</v>
      </c>
      <c r="M228">
        <f t="shared" ca="1" si="33"/>
        <v>3514350</v>
      </c>
      <c r="N228">
        <f t="shared" ca="1" si="34"/>
        <v>8324853</v>
      </c>
      <c r="O228">
        <f t="shared" ca="1" si="35"/>
        <v>3.6476800251007434E-2</v>
      </c>
      <c r="P228">
        <f t="shared" ca="1" si="36"/>
        <v>0.3365481648745029</v>
      </c>
      <c r="Q228">
        <f t="shared" ca="1" si="37"/>
        <v>0.20482343652194218</v>
      </c>
      <c r="R228">
        <f t="shared" ca="1" si="38"/>
        <v>0.42215159835254751</v>
      </c>
      <c r="S228" cm="1">
        <f t="array" aca="1" ref="S228" ca="1">SUMPRODUCT(O227:R227*(B228:E228-B227:E227)/B227:E227)</f>
        <v>-3.8436161222950181E-3</v>
      </c>
      <c r="T228">
        <f t="shared" ca="1" si="39"/>
        <v>996.15638387770503</v>
      </c>
    </row>
    <row r="229" spans="1:20" x14ac:dyDescent="0.25">
      <c r="A229" vm="2176">
        <f ca="1"/>
        <v>45258</v>
      </c>
      <c r="B229" vm="2177">
        <f ca="1"/>
        <v>190.4</v>
      </c>
      <c r="C229" vm="2178">
        <f ca="1"/>
        <v>382.7</v>
      </c>
      <c r="D229" vm="2179">
        <f ca="1"/>
        <v>137.19999999999999</v>
      </c>
      <c r="E229" vm="2180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30"/>
        <v>304640</v>
      </c>
      <c r="K229">
        <f t="shared" ca="1" si="31"/>
        <v>2831980</v>
      </c>
      <c r="L229">
        <f t="shared" ca="1" si="32"/>
        <v>1714999.9999999998</v>
      </c>
      <c r="M229">
        <f t="shared" ca="1" si="33"/>
        <v>3559395</v>
      </c>
      <c r="N229">
        <f t="shared" ca="1" si="34"/>
        <v>8411015</v>
      </c>
      <c r="O229">
        <f t="shared" ca="1" si="35"/>
        <v>3.6219172121319483E-2</v>
      </c>
      <c r="P229">
        <f t="shared" ca="1" si="36"/>
        <v>0.33669895963804608</v>
      </c>
      <c r="Q229">
        <f t="shared" ca="1" si="37"/>
        <v>0.20389929158371489</v>
      </c>
      <c r="R229">
        <f t="shared" ca="1" si="38"/>
        <v>0.42318257665691955</v>
      </c>
      <c r="S229" cm="1">
        <f t="array" aca="1" ref="S229" ca="1">SUMPRODUCT(O228:R228*(B229:E229-B228:E228)/B228:E228)</f>
        <v>1.0349972546061769E-2</v>
      </c>
      <c r="T229">
        <f t="shared" ca="1" si="39"/>
        <v>1010.3499725460618</v>
      </c>
    </row>
    <row r="230" spans="1:20" x14ac:dyDescent="0.25">
      <c r="A230" vm="2181">
        <f ca="1"/>
        <v>45259</v>
      </c>
      <c r="B230" vm="2182">
        <f ca="1"/>
        <v>189.37</v>
      </c>
      <c r="C230" vm="2183">
        <f ca="1"/>
        <v>378.85</v>
      </c>
      <c r="D230" vm="2184">
        <f ca="1"/>
        <v>134.99</v>
      </c>
      <c r="E230" vm="2185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30"/>
        <v>302992</v>
      </c>
      <c r="K230">
        <f t="shared" ca="1" si="31"/>
        <v>2803490</v>
      </c>
      <c r="L230">
        <f t="shared" ca="1" si="32"/>
        <v>1687375</v>
      </c>
      <c r="M230">
        <f t="shared" ca="1" si="33"/>
        <v>3488100</v>
      </c>
      <c r="N230">
        <f t="shared" ca="1" si="34"/>
        <v>8281957</v>
      </c>
      <c r="O230">
        <f t="shared" ca="1" si="35"/>
        <v>3.6584589849959374E-2</v>
      </c>
      <c r="P230">
        <f t="shared" ca="1" si="36"/>
        <v>0.33850574206072309</v>
      </c>
      <c r="Q230">
        <f t="shared" ca="1" si="37"/>
        <v>0.20374109645824048</v>
      </c>
      <c r="R230">
        <f t="shared" ca="1" si="38"/>
        <v>0.42116857163107707</v>
      </c>
      <c r="S230" cm="1">
        <f t="array" aca="1" ref="S230" ca="1">SUMPRODUCT(O229:R229*(B230:E230-B229:E229)/B229:E229)</f>
        <v>-1.5343926981464154E-2</v>
      </c>
      <c r="T230">
        <f t="shared" ca="1" si="39"/>
        <v>984.65607301853584</v>
      </c>
    </row>
    <row r="231" spans="1:20" x14ac:dyDescent="0.25">
      <c r="A231" vm="2186">
        <f ca="1"/>
        <v>45260</v>
      </c>
      <c r="B231" vm="2187">
        <f ca="1"/>
        <v>189.95</v>
      </c>
      <c r="C231" vm="2188">
        <f ca="1"/>
        <v>378.91</v>
      </c>
      <c r="D231" vm="2189">
        <f ca="1"/>
        <v>132.53</v>
      </c>
      <c r="E231" vm="2190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30"/>
        <v>303920</v>
      </c>
      <c r="K231">
        <f t="shared" ca="1" si="31"/>
        <v>2803934</v>
      </c>
      <c r="L231">
        <f t="shared" ca="1" si="32"/>
        <v>1656625</v>
      </c>
      <c r="M231">
        <f t="shared" ca="1" si="33"/>
        <v>3435074.9999999995</v>
      </c>
      <c r="N231">
        <f t="shared" ca="1" si="34"/>
        <v>8199554</v>
      </c>
      <c r="O231">
        <f t="shared" ca="1" si="35"/>
        <v>3.706543063195876E-2</v>
      </c>
      <c r="P231">
        <f t="shared" ca="1" si="36"/>
        <v>0.34196177011578921</v>
      </c>
      <c r="Q231">
        <f t="shared" ca="1" si="37"/>
        <v>0.20203842794376378</v>
      </c>
      <c r="R231">
        <f t="shared" ca="1" si="38"/>
        <v>0.41893437130848821</v>
      </c>
      <c r="S231" cm="1">
        <f t="array" aca="1" ref="S231" ca="1">SUMPRODUCT(O230:R230*(B231:E231-B230:E230)/B230:E230)</f>
        <v>-9.9497015017103122E-3</v>
      </c>
      <c r="T231">
        <f t="shared" ca="1" si="39"/>
        <v>990.05029849828975</v>
      </c>
    </row>
    <row r="232" spans="1:20" x14ac:dyDescent="0.25">
      <c r="A232" vm="2191">
        <f ca="1"/>
        <v>45261</v>
      </c>
      <c r="B232" vm="2192">
        <f ca="1"/>
        <v>191.24</v>
      </c>
      <c r="C232" vm="2193">
        <f ca="1"/>
        <v>374.51</v>
      </c>
      <c r="D232" vm="2194">
        <f ca="1"/>
        <v>131.86000000000001</v>
      </c>
      <c r="E232" vm="2195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30"/>
        <v>305984</v>
      </c>
      <c r="K232">
        <f t="shared" ca="1" si="31"/>
        <v>2771374</v>
      </c>
      <c r="L232">
        <f t="shared" ca="1" si="32"/>
        <v>1648250.0000000002</v>
      </c>
      <c r="M232">
        <f t="shared" ca="1" si="33"/>
        <v>3410610</v>
      </c>
      <c r="N232">
        <f t="shared" ca="1" si="34"/>
        <v>8136218</v>
      </c>
      <c r="O232">
        <f t="shared" ca="1" si="35"/>
        <v>3.7607645222878738E-2</v>
      </c>
      <c r="P232">
        <f t="shared" ca="1" si="36"/>
        <v>0.34062189582432528</v>
      </c>
      <c r="Q232">
        <f t="shared" ca="1" si="37"/>
        <v>0.20258183839223584</v>
      </c>
      <c r="R232">
        <f t="shared" ca="1" si="38"/>
        <v>0.41918862056056022</v>
      </c>
      <c r="S232" cm="1">
        <f t="array" aca="1" ref="S232" ca="1">SUMPRODUCT(O231:R231*(B232:E232-B231:E231)/B231:E231)</f>
        <v>-7.7243225668127673E-3</v>
      </c>
      <c r="T232">
        <f t="shared" ca="1" si="39"/>
        <v>992.27567743318718</v>
      </c>
    </row>
    <row r="233" spans="1:20" x14ac:dyDescent="0.25">
      <c r="A233" vm="2196">
        <f ca="1"/>
        <v>45264</v>
      </c>
      <c r="B233" vm="2197">
        <f ca="1"/>
        <v>189.43</v>
      </c>
      <c r="C233" vm="2198">
        <f ca="1"/>
        <v>369.14</v>
      </c>
      <c r="D233" vm="1505">
        <f ca="1"/>
        <v>129.27000000000001</v>
      </c>
      <c r="E233" vm="2199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30"/>
        <v>303088</v>
      </c>
      <c r="K233">
        <f t="shared" ca="1" si="31"/>
        <v>2731636</v>
      </c>
      <c r="L233">
        <f t="shared" ca="1" si="32"/>
        <v>1615875.0000000002</v>
      </c>
      <c r="M233">
        <f t="shared" ca="1" si="33"/>
        <v>3360210</v>
      </c>
      <c r="N233">
        <f t="shared" ca="1" si="34"/>
        <v>8010809</v>
      </c>
      <c r="O233">
        <f t="shared" ca="1" si="35"/>
        <v>3.7834880347290767E-2</v>
      </c>
      <c r="P233">
        <f t="shared" ca="1" si="36"/>
        <v>0.3409937747860422</v>
      </c>
      <c r="Q233">
        <f t="shared" ca="1" si="37"/>
        <v>0.20171183709410626</v>
      </c>
      <c r="R233">
        <f t="shared" ca="1" si="38"/>
        <v>0.4194595077725608</v>
      </c>
      <c r="S233" cm="1">
        <f t="array" aca="1" ref="S233" ca="1">SUMPRODUCT(O232:R232*(B233:E233-B232:E232)/B232:E232)</f>
        <v>-1.541367254417227E-2</v>
      </c>
      <c r="T233">
        <f t="shared" ca="1" si="39"/>
        <v>984.5863274558277</v>
      </c>
    </row>
    <row r="234" spans="1:20" x14ac:dyDescent="0.25">
      <c r="A234" vm="2200">
        <f ca="1"/>
        <v>45265</v>
      </c>
      <c r="B234" vm="2201">
        <f ca="1"/>
        <v>193.42</v>
      </c>
      <c r="C234" vm="2202">
        <f ca="1"/>
        <v>372.52</v>
      </c>
      <c r="D234" vm="2203">
        <f ca="1"/>
        <v>130.99</v>
      </c>
      <c r="E234" vm="2204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30"/>
        <v>309472</v>
      </c>
      <c r="K234">
        <f t="shared" ca="1" si="31"/>
        <v>2756648</v>
      </c>
      <c r="L234">
        <f t="shared" ca="1" si="32"/>
        <v>1637375</v>
      </c>
      <c r="M234">
        <f t="shared" ca="1" si="33"/>
        <v>3342045</v>
      </c>
      <c r="N234">
        <f t="shared" ca="1" si="34"/>
        <v>8045540</v>
      </c>
      <c r="O234">
        <f t="shared" ca="1" si="35"/>
        <v>3.8465037772480157E-2</v>
      </c>
      <c r="P234">
        <f t="shared" ca="1" si="36"/>
        <v>0.34263057544925513</v>
      </c>
      <c r="Q234">
        <f t="shared" ca="1" si="37"/>
        <v>0.20351337511217396</v>
      </c>
      <c r="R234">
        <f t="shared" ca="1" si="38"/>
        <v>0.41539101166609077</v>
      </c>
      <c r="S234" cm="1">
        <f t="array" aca="1" ref="S234" ca="1">SUMPRODUCT(O233:R233*(B234:E234-B233:E233)/B233:E233)</f>
        <v>4.335517174357836E-3</v>
      </c>
      <c r="T234">
        <f t="shared" ca="1" si="39"/>
        <v>1004.3355171743577</v>
      </c>
    </row>
    <row r="235" spans="1:20" x14ac:dyDescent="0.25">
      <c r="A235" vm="2205">
        <f ca="1"/>
        <v>45266</v>
      </c>
      <c r="B235" vm="2206">
        <f ca="1"/>
        <v>192.32</v>
      </c>
      <c r="C235" vm="2207">
        <f ca="1"/>
        <v>368.8</v>
      </c>
      <c r="D235" vm="38">
        <f ca="1"/>
        <v>130.02000000000001</v>
      </c>
      <c r="E235" vm="2208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30"/>
        <v>307712</v>
      </c>
      <c r="K235">
        <f t="shared" ca="1" si="31"/>
        <v>2729120</v>
      </c>
      <c r="L235">
        <f t="shared" ca="1" si="32"/>
        <v>1625250.0000000002</v>
      </c>
      <c r="M235">
        <f t="shared" ca="1" si="33"/>
        <v>3333225</v>
      </c>
      <c r="N235">
        <f t="shared" ca="1" si="34"/>
        <v>7995307</v>
      </c>
      <c r="O235">
        <f t="shared" ca="1" si="35"/>
        <v>3.8486577188343113E-2</v>
      </c>
      <c r="P235">
        <f t="shared" ca="1" si="36"/>
        <v>0.34134023871753766</v>
      </c>
      <c r="Q235">
        <f t="shared" ca="1" si="37"/>
        <v>0.20327549648812737</v>
      </c>
      <c r="R235">
        <f t="shared" ca="1" si="38"/>
        <v>0.41689768760599188</v>
      </c>
      <c r="S235" cm="1">
        <f t="array" aca="1" ref="S235" ca="1">SUMPRODUCT(O234:R234*(B235:E235-B234:E234)/B234:E234)</f>
        <v>-6.2435834014870463E-3</v>
      </c>
      <c r="T235">
        <f t="shared" ca="1" si="39"/>
        <v>993.75641659851294</v>
      </c>
    </row>
    <row r="236" spans="1:20" x14ac:dyDescent="0.25">
      <c r="A236" vm="2209">
        <f ca="1"/>
        <v>45267</v>
      </c>
      <c r="B236" vm="2210">
        <f ca="1"/>
        <v>194.27</v>
      </c>
      <c r="C236" vm="2211">
        <f ca="1"/>
        <v>370.95</v>
      </c>
      <c r="D236" vm="2145">
        <f ca="1"/>
        <v>136.93</v>
      </c>
      <c r="E236" vm="2212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30"/>
        <v>310832</v>
      </c>
      <c r="K236">
        <f t="shared" ca="1" si="31"/>
        <v>2745030</v>
      </c>
      <c r="L236">
        <f t="shared" ca="1" si="32"/>
        <v>1711625</v>
      </c>
      <c r="M236">
        <f t="shared" ca="1" si="33"/>
        <v>3429194.9999999995</v>
      </c>
      <c r="N236">
        <f t="shared" ca="1" si="34"/>
        <v>8196682</v>
      </c>
      <c r="O236">
        <f t="shared" ca="1" si="35"/>
        <v>3.7921685872405443E-2</v>
      </c>
      <c r="P236">
        <f t="shared" ca="1" si="36"/>
        <v>0.33489526615769649</v>
      </c>
      <c r="Q236">
        <f t="shared" ca="1" si="37"/>
        <v>0.20881925149713018</v>
      </c>
      <c r="R236">
        <f t="shared" ca="1" si="38"/>
        <v>0.41836379647276783</v>
      </c>
      <c r="S236" cm="1">
        <f t="array" aca="1" ref="S236" ca="1">SUMPRODUCT(O235:R235*(B236:E236-B235:E235)/B235:E235)</f>
        <v>2.5186650118625802E-2</v>
      </c>
      <c r="T236">
        <f t="shared" ca="1" si="39"/>
        <v>1025.1866501186257</v>
      </c>
    </row>
    <row r="237" spans="1:20" x14ac:dyDescent="0.25">
      <c r="A237" vm="2213">
        <f ca="1"/>
        <v>45268</v>
      </c>
      <c r="B237" vm="2214">
        <f ca="1"/>
        <v>195.71</v>
      </c>
      <c r="C237" vm="2215">
        <f ca="1"/>
        <v>374.23</v>
      </c>
      <c r="D237" vm="2184">
        <f ca="1"/>
        <v>134.99</v>
      </c>
      <c r="E237" vm="2216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30"/>
        <v>313136</v>
      </c>
      <c r="K237">
        <f t="shared" ca="1" si="31"/>
        <v>2769302</v>
      </c>
      <c r="L237">
        <f t="shared" ca="1" si="32"/>
        <v>1687375</v>
      </c>
      <c r="M237">
        <f t="shared" ca="1" si="33"/>
        <v>3493875</v>
      </c>
      <c r="N237">
        <f t="shared" ca="1" si="34"/>
        <v>8263688</v>
      </c>
      <c r="O237">
        <f t="shared" ca="1" si="35"/>
        <v>3.7893008545337142E-2</v>
      </c>
      <c r="P237">
        <f t="shared" ca="1" si="36"/>
        <v>0.33511695988522316</v>
      </c>
      <c r="Q237">
        <f t="shared" ca="1" si="37"/>
        <v>0.2041915183632296</v>
      </c>
      <c r="R237">
        <f t="shared" ca="1" si="38"/>
        <v>0.42279851320621009</v>
      </c>
      <c r="S237" cm="1">
        <f t="array" aca="1" ref="S237" ca="1">SUMPRODUCT(O236:R236*(B237:E237-B236:E236)/B236:E236)</f>
        <v>8.1747712062027657E-3</v>
      </c>
      <c r="T237">
        <f t="shared" ca="1" si="39"/>
        <v>1008.1747712062028</v>
      </c>
    </row>
    <row r="238" spans="1:20" x14ac:dyDescent="0.25">
      <c r="A238" vm="2217">
        <f ca="1"/>
        <v>45271</v>
      </c>
      <c r="B238" vm="2218">
        <f ca="1"/>
        <v>193.18</v>
      </c>
      <c r="C238" vm="2219">
        <f ca="1"/>
        <v>371.3</v>
      </c>
      <c r="D238" vm="2220">
        <f ca="1"/>
        <v>133.29</v>
      </c>
      <c r="E238" vm="2221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30"/>
        <v>309088</v>
      </c>
      <c r="K238">
        <f t="shared" ca="1" si="31"/>
        <v>2747620</v>
      </c>
      <c r="L238">
        <f t="shared" ca="1" si="32"/>
        <v>1666125</v>
      </c>
      <c r="M238">
        <f t="shared" ca="1" si="33"/>
        <v>3415439.9999999995</v>
      </c>
      <c r="N238">
        <f t="shared" ca="1" si="34"/>
        <v>8138273</v>
      </c>
      <c r="O238">
        <f t="shared" ca="1" si="35"/>
        <v>3.7979556596344215E-2</v>
      </c>
      <c r="P238">
        <f t="shared" ca="1" si="36"/>
        <v>0.3376170841160035</v>
      </c>
      <c r="Q238">
        <f t="shared" ca="1" si="37"/>
        <v>0.20472709627706026</v>
      </c>
      <c r="R238">
        <f t="shared" ca="1" si="38"/>
        <v>0.41967626301059202</v>
      </c>
      <c r="S238" cm="1">
        <f t="array" aca="1" ref="S238" ca="1">SUMPRODUCT(O237:R237*(B238:E238-B237:E237)/B237:E237)</f>
        <v>-1.5176637840150857E-2</v>
      </c>
      <c r="T238">
        <f t="shared" ca="1" si="39"/>
        <v>984.82336215984913</v>
      </c>
    </row>
    <row r="239" spans="1:20" x14ac:dyDescent="0.25">
      <c r="A239" vm="2222">
        <f ca="1"/>
        <v>45272</v>
      </c>
      <c r="B239" vm="2223">
        <f ca="1"/>
        <v>194.71</v>
      </c>
      <c r="C239" vm="2224">
        <f ca="1"/>
        <v>374.38</v>
      </c>
      <c r="D239" vm="2225">
        <f ca="1"/>
        <v>132.52000000000001</v>
      </c>
      <c r="E239" vm="2226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30"/>
        <v>311536</v>
      </c>
      <c r="K239">
        <f t="shared" ca="1" si="31"/>
        <v>2770412</v>
      </c>
      <c r="L239">
        <f t="shared" ca="1" si="32"/>
        <v>1656500.0000000002</v>
      </c>
      <c r="M239">
        <f t="shared" ca="1" si="33"/>
        <v>3509310.0000000005</v>
      </c>
      <c r="N239">
        <f t="shared" ca="1" si="34"/>
        <v>8247758</v>
      </c>
      <c r="O239">
        <f t="shared" ca="1" si="35"/>
        <v>3.7772204276604625E-2</v>
      </c>
      <c r="P239">
        <f t="shared" ca="1" si="36"/>
        <v>0.33589879819461238</v>
      </c>
      <c r="Q239">
        <f t="shared" ca="1" si="37"/>
        <v>0.20084245924771316</v>
      </c>
      <c r="R239">
        <f t="shared" ca="1" si="38"/>
        <v>0.42548653828106991</v>
      </c>
      <c r="S239" cm="1">
        <f t="array" aca="1" ref="S239" ca="1">SUMPRODUCT(O238:R238*(B239:E239-B238:E238)/B238:E238)</f>
        <v>1.345309993901663E-2</v>
      </c>
      <c r="T239">
        <f t="shared" ca="1" si="39"/>
        <v>1013.4530999390165</v>
      </c>
    </row>
    <row r="240" spans="1:20" x14ac:dyDescent="0.25">
      <c r="A240" vm="2227">
        <f ca="1"/>
        <v>45273</v>
      </c>
      <c r="B240" vm="2228">
        <f ca="1"/>
        <v>197.96</v>
      </c>
      <c r="C240" vm="2229">
        <f ca="1"/>
        <v>374.37</v>
      </c>
      <c r="D240" vm="2230">
        <f ca="1"/>
        <v>132.57</v>
      </c>
      <c r="E240" vm="2231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30"/>
        <v>316736</v>
      </c>
      <c r="K240">
        <f t="shared" ca="1" si="31"/>
        <v>2770338</v>
      </c>
      <c r="L240">
        <f t="shared" ca="1" si="32"/>
        <v>1657125</v>
      </c>
      <c r="M240">
        <f t="shared" ca="1" si="33"/>
        <v>3514770</v>
      </c>
      <c r="N240">
        <f t="shared" ca="1" si="34"/>
        <v>8258969</v>
      </c>
      <c r="O240">
        <f t="shared" ca="1" si="35"/>
        <v>3.8350549566174667E-2</v>
      </c>
      <c r="P240">
        <f t="shared" ca="1" si="36"/>
        <v>0.33543387800583824</v>
      </c>
      <c r="Q240">
        <f t="shared" ca="1" si="37"/>
        <v>0.20064550429962869</v>
      </c>
      <c r="R240">
        <f t="shared" ca="1" si="38"/>
        <v>0.4255700681283584</v>
      </c>
      <c r="S240" cm="1">
        <f t="array" aca="1" ref="S240" ca="1">SUMPRODUCT(O239:R239*(B240:E240-B239:E239)/B239:E239)</f>
        <v>1.3592784851349498E-3</v>
      </c>
      <c r="T240">
        <f t="shared" ca="1" si="39"/>
        <v>1001.3592784851348</v>
      </c>
    </row>
    <row r="241" spans="1:20" x14ac:dyDescent="0.25">
      <c r="A241" vm="2232">
        <f ca="1"/>
        <v>45274</v>
      </c>
      <c r="B241" vm="2233">
        <f ca="1"/>
        <v>198.11</v>
      </c>
      <c r="C241" vm="2234">
        <f ca="1"/>
        <v>365.93</v>
      </c>
      <c r="D241" vm="2235">
        <f ca="1"/>
        <v>131.94</v>
      </c>
      <c r="E241" vm="2236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30"/>
        <v>316976</v>
      </c>
      <c r="K241">
        <f t="shared" ca="1" si="31"/>
        <v>2707882</v>
      </c>
      <c r="L241">
        <f t="shared" ca="1" si="32"/>
        <v>1649250</v>
      </c>
      <c r="M241">
        <f t="shared" ca="1" si="33"/>
        <v>3498285</v>
      </c>
      <c r="N241">
        <f t="shared" ca="1" si="34"/>
        <v>8172393</v>
      </c>
      <c r="O241">
        <f t="shared" ca="1" si="35"/>
        <v>3.8786191510858568E-2</v>
      </c>
      <c r="P241">
        <f t="shared" ca="1" si="36"/>
        <v>0.33134505401294334</v>
      </c>
      <c r="Q241">
        <f t="shared" ca="1" si="37"/>
        <v>0.20180747548484268</v>
      </c>
      <c r="R241">
        <f t="shared" ca="1" si="38"/>
        <v>0.42806127899135543</v>
      </c>
      <c r="S241" cm="1">
        <f t="array" aca="1" ref="S241" ca="1">SUMPRODUCT(O240:R240*(B241:E241-B240:E240)/B240:E240)</f>
        <v>-1.0482664361617031E-2</v>
      </c>
      <c r="T241">
        <f t="shared" ca="1" si="39"/>
        <v>989.51733563838297</v>
      </c>
    </row>
    <row r="242" spans="1:20" x14ac:dyDescent="0.25">
      <c r="A242" vm="2237">
        <f ca="1"/>
        <v>45275</v>
      </c>
      <c r="B242" vm="2238">
        <f ca="1"/>
        <v>197.57</v>
      </c>
      <c r="C242" vm="2239">
        <f ca="1"/>
        <v>370.73</v>
      </c>
      <c r="D242" vm="2240">
        <f ca="1"/>
        <v>132.6</v>
      </c>
      <c r="E242" vm="2241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30"/>
        <v>316112</v>
      </c>
      <c r="K242">
        <f t="shared" ca="1" si="31"/>
        <v>2743402</v>
      </c>
      <c r="L242">
        <f t="shared" ca="1" si="32"/>
        <v>1657500</v>
      </c>
      <c r="M242">
        <f t="shared" ca="1" si="33"/>
        <v>3516660</v>
      </c>
      <c r="N242">
        <f t="shared" ca="1" si="34"/>
        <v>8233674</v>
      </c>
      <c r="O242">
        <f t="shared" ca="1" si="35"/>
        <v>3.8392581489138385E-2</v>
      </c>
      <c r="P242">
        <f t="shared" ca="1" si="36"/>
        <v>0.33319293428425756</v>
      </c>
      <c r="Q242">
        <f t="shared" ca="1" si="37"/>
        <v>0.20130746007189501</v>
      </c>
      <c r="R242">
        <f t="shared" ca="1" si="38"/>
        <v>0.42710702415470908</v>
      </c>
      <c r="S242" cm="1">
        <f t="array" aca="1" ref="S242" ca="1">SUMPRODUCT(O241:R241*(B242:E242-B241:E241)/B241:E241)</f>
        <v>7.4985380659006503E-3</v>
      </c>
      <c r="T242">
        <f t="shared" ca="1" si="39"/>
        <v>1007.4985380659007</v>
      </c>
    </row>
    <row r="243" spans="1:20" x14ac:dyDescent="0.25">
      <c r="A243" vm="2242">
        <f ca="1"/>
        <v>45278</v>
      </c>
      <c r="B243" vm="2243">
        <f ca="1"/>
        <v>195.89</v>
      </c>
      <c r="C243" vm="2244">
        <f ca="1"/>
        <v>372.65</v>
      </c>
      <c r="D243" vm="2245">
        <f ca="1"/>
        <v>135.80000000000001</v>
      </c>
      <c r="E243" vm="2246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30"/>
        <v>313424</v>
      </c>
      <c r="K243">
        <f t="shared" ca="1" si="31"/>
        <v>2757610</v>
      </c>
      <c r="L243">
        <f t="shared" ca="1" si="32"/>
        <v>1697500.0000000002</v>
      </c>
      <c r="M243">
        <f t="shared" ca="1" si="33"/>
        <v>3618510</v>
      </c>
      <c r="N243">
        <f t="shared" ca="1" si="34"/>
        <v>8387044</v>
      </c>
      <c r="O243">
        <f t="shared" ca="1" si="35"/>
        <v>3.7370019759047406E-2</v>
      </c>
      <c r="P243">
        <f t="shared" ca="1" si="36"/>
        <v>0.32879403041166827</v>
      </c>
      <c r="Q243">
        <f t="shared" ca="1" si="37"/>
        <v>0.20239550430401942</v>
      </c>
      <c r="R243">
        <f t="shared" ca="1" si="38"/>
        <v>0.43144044552526489</v>
      </c>
      <c r="S243" cm="1">
        <f t="array" aca="1" ref="S243" ca="1">SUMPRODUCT(O242:R242*(B243:E243-B242:E242)/B242:E242)</f>
        <v>1.8627164495460931E-2</v>
      </c>
      <c r="T243">
        <f t="shared" ca="1" si="39"/>
        <v>1018.627164495461</v>
      </c>
    </row>
    <row r="244" spans="1:20" x14ac:dyDescent="0.25">
      <c r="A244" vm="2247">
        <f ca="1"/>
        <v>45279</v>
      </c>
      <c r="B244" vm="2248">
        <f ca="1"/>
        <v>196.94</v>
      </c>
      <c r="C244" vm="2249">
        <f ca="1"/>
        <v>373.26</v>
      </c>
      <c r="D244" vm="2250">
        <f ca="1"/>
        <v>136.65</v>
      </c>
      <c r="E244" vm="2251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30"/>
        <v>315104</v>
      </c>
      <c r="K244">
        <f t="shared" ca="1" si="31"/>
        <v>2762124</v>
      </c>
      <c r="L244">
        <f t="shared" ca="1" si="32"/>
        <v>1708125</v>
      </c>
      <c r="M244">
        <f t="shared" ca="1" si="33"/>
        <v>3678780</v>
      </c>
      <c r="N244">
        <f t="shared" ca="1" si="34"/>
        <v>8464133</v>
      </c>
      <c r="O244">
        <f t="shared" ca="1" si="35"/>
        <v>3.7228148470729368E-2</v>
      </c>
      <c r="P244">
        <f t="shared" ca="1" si="36"/>
        <v>0.32633277383519377</v>
      </c>
      <c r="Q244">
        <f t="shared" ca="1" si="37"/>
        <v>0.20180743851732955</v>
      </c>
      <c r="R244">
        <f t="shared" ca="1" si="38"/>
        <v>0.43463163917674735</v>
      </c>
      <c r="S244" cm="1">
        <f t="array" aca="1" ref="S244" ca="1">SUMPRODUCT(O243:R243*(B244:E244-B243:E243)/B243:E243)</f>
        <v>9.1914386045906203E-3</v>
      </c>
      <c r="T244">
        <f t="shared" ca="1" si="39"/>
        <v>1009.1914386045906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 prices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</dc:creator>
  <cp:lastModifiedBy>Ana Lorena Ortiz Loyola Solana</cp:lastModifiedBy>
  <dcterms:created xsi:type="dcterms:W3CDTF">2026-05-31T08:01:08Z</dcterms:created>
  <dcterms:modified xsi:type="dcterms:W3CDTF">2026-05-31T14:29:55Z</dcterms:modified>
</cp:coreProperties>
</file>