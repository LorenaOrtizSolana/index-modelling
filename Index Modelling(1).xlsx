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\OneDrive\Documentos\"/>
    </mc:Choice>
  </mc:AlternateContent>
  <xr:revisionPtr revIDLastSave="0" documentId="8_{125A805C-14D6-42D9-AEF4-28226EF965B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All prices" sheetId="1" r:id="rId1"/>
    <sheet name="Market Cap" sheetId="2" r:id="rId2"/>
    <sheet name="Prices" sheetId="8" r:id="rId3"/>
    <sheet name="Shares" sheetId="9" r:id="rId4"/>
    <sheet name="Equal Weights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0" l="1"/>
  <c r="L2" i="10"/>
  <c r="M2" i="10"/>
  <c r="N2" i="10"/>
  <c r="T2" i="2"/>
  <c r="D2" i="8" a="1"/>
  <c r="E2" i="8" a="1"/>
  <c r="E2" i="10" a="1"/>
  <c r="C2" i="10" a="1"/>
  <c r="A2" i="10" a="1"/>
  <c r="C2" i="8" a="1"/>
  <c r="A2" i="8" a="1"/>
  <c r="A2" i="2" a="1"/>
  <c r="D2" i="10" a="1"/>
  <c r="W2" i="10" l="1"/>
  <c r="O2" i="10"/>
  <c r="P4" i="10"/>
  <c r="P12" i="10"/>
  <c r="P20" i="10"/>
  <c r="P28" i="10"/>
  <c r="P36" i="10"/>
  <c r="P44" i="10"/>
  <c r="P52" i="10"/>
  <c r="P60" i="10"/>
  <c r="P5" i="10"/>
  <c r="P13" i="10"/>
  <c r="P21" i="10"/>
  <c r="P29" i="10"/>
  <c r="P37" i="10"/>
  <c r="P45" i="10"/>
  <c r="P53" i="10"/>
  <c r="P61" i="10"/>
  <c r="P69" i="10"/>
  <c r="P77" i="10"/>
  <c r="P6" i="10"/>
  <c r="P14" i="10"/>
  <c r="P22" i="10"/>
  <c r="P30" i="10"/>
  <c r="P38" i="10"/>
  <c r="P46" i="10"/>
  <c r="P54" i="10"/>
  <c r="P62" i="10"/>
  <c r="P70" i="10"/>
  <c r="P78" i="10"/>
  <c r="P86" i="10"/>
  <c r="P94" i="10"/>
  <c r="P102" i="10"/>
  <c r="P110" i="10"/>
  <c r="P118" i="10"/>
  <c r="P126" i="10"/>
  <c r="P134" i="10"/>
  <c r="P142" i="10"/>
  <c r="P150" i="10"/>
  <c r="P158" i="10"/>
  <c r="P166" i="10"/>
  <c r="P174" i="10"/>
  <c r="P182" i="10"/>
  <c r="P190" i="10"/>
  <c r="P10" i="10"/>
  <c r="P8" i="10"/>
  <c r="P23" i="10"/>
  <c r="P34" i="10"/>
  <c r="P48" i="10"/>
  <c r="P59" i="10"/>
  <c r="P72" i="10"/>
  <c r="P82" i="10"/>
  <c r="P91" i="10"/>
  <c r="P100" i="10"/>
  <c r="P109" i="10"/>
  <c r="P119" i="10"/>
  <c r="P128" i="10"/>
  <c r="P137" i="10"/>
  <c r="P146" i="10"/>
  <c r="P155" i="10"/>
  <c r="P164" i="10"/>
  <c r="P173" i="10"/>
  <c r="P183" i="10"/>
  <c r="P192" i="10"/>
  <c r="P200" i="10"/>
  <c r="P208" i="10"/>
  <c r="P216" i="10"/>
  <c r="P224" i="10"/>
  <c r="P232" i="10"/>
  <c r="P240" i="10"/>
  <c r="P16" i="10"/>
  <c r="P55" i="10"/>
  <c r="P96" i="10"/>
  <c r="P132" i="10"/>
  <c r="P169" i="10"/>
  <c r="P204" i="10"/>
  <c r="P228" i="10"/>
  <c r="P9" i="10"/>
  <c r="P24" i="10"/>
  <c r="P35" i="10"/>
  <c r="P49" i="10"/>
  <c r="P63" i="10"/>
  <c r="P73" i="10"/>
  <c r="P83" i="10"/>
  <c r="P92" i="10"/>
  <c r="P101" i="10"/>
  <c r="P111" i="10"/>
  <c r="P120" i="10"/>
  <c r="P129" i="10"/>
  <c r="P138" i="10"/>
  <c r="P147" i="10"/>
  <c r="P156" i="10"/>
  <c r="P165" i="10"/>
  <c r="P175" i="10"/>
  <c r="P184" i="10"/>
  <c r="P193" i="10"/>
  <c r="P201" i="10"/>
  <c r="P209" i="10"/>
  <c r="P217" i="10"/>
  <c r="P225" i="10"/>
  <c r="P233" i="10"/>
  <c r="P241" i="10"/>
  <c r="P41" i="10"/>
  <c r="P76" i="10"/>
  <c r="P105" i="10"/>
  <c r="P141" i="10"/>
  <c r="P178" i="10"/>
  <c r="P212" i="10"/>
  <c r="P236" i="10"/>
  <c r="P11" i="10"/>
  <c r="P25" i="10"/>
  <c r="P39" i="10"/>
  <c r="P50" i="10"/>
  <c r="P64" i="10"/>
  <c r="P74" i="10"/>
  <c r="P84" i="10"/>
  <c r="P93" i="10"/>
  <c r="P103" i="10"/>
  <c r="P112" i="10"/>
  <c r="P121" i="10"/>
  <c r="P130" i="10"/>
  <c r="P139" i="10"/>
  <c r="P148" i="10"/>
  <c r="P157" i="10"/>
  <c r="P167" i="10"/>
  <c r="P176" i="10"/>
  <c r="P185" i="10"/>
  <c r="P194" i="10"/>
  <c r="P202" i="10"/>
  <c r="P210" i="10"/>
  <c r="P218" i="10"/>
  <c r="P226" i="10"/>
  <c r="P234" i="10"/>
  <c r="P242" i="10"/>
  <c r="P27" i="10"/>
  <c r="P87" i="10"/>
  <c r="P123" i="10"/>
  <c r="P151" i="10"/>
  <c r="P187" i="10"/>
  <c r="P220" i="10"/>
  <c r="P15" i="10"/>
  <c r="P26" i="10"/>
  <c r="P40" i="10"/>
  <c r="P51" i="10"/>
  <c r="P65" i="10"/>
  <c r="P75" i="10"/>
  <c r="P85" i="10"/>
  <c r="P95" i="10"/>
  <c r="P104" i="10"/>
  <c r="P113" i="10"/>
  <c r="P122" i="10"/>
  <c r="P131" i="10"/>
  <c r="P140" i="10"/>
  <c r="P149" i="10"/>
  <c r="P159" i="10"/>
  <c r="P168" i="10"/>
  <c r="P177" i="10"/>
  <c r="P186" i="10"/>
  <c r="P195" i="10"/>
  <c r="P203" i="10"/>
  <c r="P211" i="10"/>
  <c r="P219" i="10"/>
  <c r="P227" i="10"/>
  <c r="P235" i="10"/>
  <c r="P243" i="10"/>
  <c r="P66" i="10"/>
  <c r="P114" i="10"/>
  <c r="P160" i="10"/>
  <c r="P196" i="10"/>
  <c r="P244" i="10"/>
  <c r="P18" i="10"/>
  <c r="P32" i="10"/>
  <c r="P43" i="10"/>
  <c r="P57" i="10"/>
  <c r="P68" i="10"/>
  <c r="P80" i="10"/>
  <c r="P89" i="10"/>
  <c r="P98" i="10"/>
  <c r="P107" i="10"/>
  <c r="P116" i="10"/>
  <c r="P125" i="10"/>
  <c r="P135" i="10"/>
  <c r="P144" i="10"/>
  <c r="P153" i="10"/>
  <c r="P162" i="10"/>
  <c r="P171" i="10"/>
  <c r="P180" i="10"/>
  <c r="P189" i="10"/>
  <c r="P198" i="10"/>
  <c r="P206" i="10"/>
  <c r="P214" i="10"/>
  <c r="P222" i="10"/>
  <c r="P230" i="10"/>
  <c r="P238" i="10"/>
  <c r="P7" i="10"/>
  <c r="P19" i="10"/>
  <c r="P33" i="10"/>
  <c r="P47" i="10"/>
  <c r="P58" i="10"/>
  <c r="P71" i="10"/>
  <c r="P81" i="10"/>
  <c r="P90" i="10"/>
  <c r="P99" i="10"/>
  <c r="P108" i="10"/>
  <c r="P117" i="10"/>
  <c r="P127" i="10"/>
  <c r="P136" i="10"/>
  <c r="P145" i="10"/>
  <c r="P154" i="10"/>
  <c r="P163" i="10"/>
  <c r="P172" i="10"/>
  <c r="P181" i="10"/>
  <c r="P191" i="10"/>
  <c r="P199" i="10"/>
  <c r="P207" i="10"/>
  <c r="P215" i="10"/>
  <c r="P223" i="10"/>
  <c r="P231" i="10"/>
  <c r="P239" i="10"/>
  <c r="P79" i="10"/>
  <c r="P152" i="10"/>
  <c r="P221" i="10"/>
  <c r="P115" i="10"/>
  <c r="P42" i="10"/>
  <c r="P124" i="10"/>
  <c r="P197" i="10"/>
  <c r="P133" i="10"/>
  <c r="P67" i="10"/>
  <c r="P213" i="10"/>
  <c r="P88" i="10"/>
  <c r="P161" i="10"/>
  <c r="P229" i="10"/>
  <c r="P97" i="10"/>
  <c r="P170" i="10"/>
  <c r="P237" i="10"/>
  <c r="P31" i="10"/>
  <c r="P188" i="10"/>
  <c r="P56" i="10"/>
  <c r="P205" i="10"/>
  <c r="P143" i="10"/>
  <c r="P17" i="10"/>
  <c r="P106" i="10"/>
  <c r="P179" i="10"/>
  <c r="P3" i="10"/>
  <c r="Q6" i="10"/>
  <c r="Q14" i="10"/>
  <c r="Q22" i="10"/>
  <c r="Q30" i="10"/>
  <c r="Q38" i="10"/>
  <c r="Q46" i="10"/>
  <c r="Q54" i="10"/>
  <c r="Q62" i="10"/>
  <c r="Q70" i="10"/>
  <c r="Q78" i="10"/>
  <c r="Q86" i="10"/>
  <c r="Q94" i="10"/>
  <c r="Q102" i="10"/>
  <c r="Q110" i="10"/>
  <c r="Q118" i="10"/>
  <c r="Q126" i="10"/>
  <c r="Q134" i="10"/>
  <c r="Q142" i="10"/>
  <c r="Q150" i="10"/>
  <c r="Q158" i="10"/>
  <c r="Q166" i="10"/>
  <c r="Q174" i="10"/>
  <c r="Q182" i="10"/>
  <c r="Q190" i="10"/>
  <c r="Q198" i="10"/>
  <c r="Q206" i="10"/>
  <c r="Q214" i="10"/>
  <c r="Q222" i="10"/>
  <c r="Q230" i="10"/>
  <c r="Q238" i="10"/>
  <c r="Q7" i="10"/>
  <c r="Q15" i="10"/>
  <c r="Q23" i="10"/>
  <c r="Q31" i="10"/>
  <c r="Q39" i="10"/>
  <c r="Q47" i="10"/>
  <c r="Q55" i="10"/>
  <c r="Q63" i="10"/>
  <c r="Q71" i="10"/>
  <c r="Q79" i="10"/>
  <c r="Q87" i="10"/>
  <c r="Q95" i="10"/>
  <c r="Q103" i="10"/>
  <c r="Q111" i="10"/>
  <c r="Q119" i="10"/>
  <c r="Q127" i="10"/>
  <c r="Q135" i="10"/>
  <c r="Q143" i="10"/>
  <c r="Q151" i="10"/>
  <c r="Q159" i="10"/>
  <c r="Q167" i="10"/>
  <c r="Q175" i="10"/>
  <c r="Q183" i="10"/>
  <c r="Q191" i="10"/>
  <c r="Q199" i="10"/>
  <c r="Q207" i="10"/>
  <c r="Q215" i="10"/>
  <c r="Q223" i="10"/>
  <c r="Q231" i="10"/>
  <c r="Q239" i="10"/>
  <c r="Q8" i="10"/>
  <c r="Q16" i="10"/>
  <c r="Q24" i="10"/>
  <c r="Q32" i="10"/>
  <c r="Q40" i="10"/>
  <c r="Q48" i="10"/>
  <c r="Q56" i="10"/>
  <c r="Q64" i="10"/>
  <c r="Q72" i="10"/>
  <c r="Q80" i="10"/>
  <c r="Q88" i="10"/>
  <c r="Q96" i="10"/>
  <c r="Q104" i="10"/>
  <c r="Q112" i="10"/>
  <c r="Q120" i="10"/>
  <c r="Q128" i="10"/>
  <c r="Q136" i="10"/>
  <c r="Q144" i="10"/>
  <c r="Q152" i="10"/>
  <c r="Q160" i="10"/>
  <c r="Q168" i="10"/>
  <c r="Q176" i="10"/>
  <c r="Q184" i="10"/>
  <c r="Q192" i="10"/>
  <c r="Q200" i="10"/>
  <c r="Q208" i="10"/>
  <c r="Q216" i="10"/>
  <c r="Q224" i="10"/>
  <c r="Q232" i="10"/>
  <c r="Q240" i="10"/>
  <c r="Q9" i="10"/>
  <c r="Q17" i="10"/>
  <c r="Q25" i="10"/>
  <c r="Q33" i="10"/>
  <c r="Q41" i="10"/>
  <c r="Q49" i="10"/>
  <c r="Q57" i="10"/>
  <c r="Q65" i="10"/>
  <c r="Q73" i="10"/>
  <c r="Q81" i="10"/>
  <c r="Q89" i="10"/>
  <c r="Q97" i="10"/>
  <c r="Q105" i="10"/>
  <c r="Q113" i="10"/>
  <c r="Q121" i="10"/>
  <c r="Q129" i="10"/>
  <c r="Q137" i="10"/>
  <c r="Q145" i="10"/>
  <c r="Q153" i="10"/>
  <c r="Q161" i="10"/>
  <c r="Q169" i="10"/>
  <c r="Q4" i="10"/>
  <c r="Q12" i="10"/>
  <c r="Q20" i="10"/>
  <c r="Q28" i="10"/>
  <c r="Q36" i="10"/>
  <c r="Q44" i="10"/>
  <c r="Q52" i="10"/>
  <c r="Q60" i="10"/>
  <c r="Q68" i="10"/>
  <c r="Q76" i="10"/>
  <c r="Q84" i="10"/>
  <c r="Q92" i="10"/>
  <c r="Q100" i="10"/>
  <c r="Q108" i="10"/>
  <c r="Q116" i="10"/>
  <c r="Q124" i="10"/>
  <c r="Q132" i="10"/>
  <c r="Q140" i="10"/>
  <c r="Q148" i="10"/>
  <c r="Q156" i="10"/>
  <c r="Q164" i="10"/>
  <c r="Q172" i="10"/>
  <c r="Q180" i="10"/>
  <c r="Q188" i="10"/>
  <c r="Q196" i="10"/>
  <c r="Q204" i="10"/>
  <c r="Q212" i="10"/>
  <c r="Q220" i="10"/>
  <c r="Q228" i="10"/>
  <c r="Q236" i="10"/>
  <c r="Q244" i="10"/>
  <c r="Q19" i="10"/>
  <c r="Q42" i="10"/>
  <c r="Q61" i="10"/>
  <c r="Q83" i="10"/>
  <c r="Q106" i="10"/>
  <c r="Q125" i="10"/>
  <c r="Q147" i="10"/>
  <c r="Q170" i="10"/>
  <c r="Q186" i="10"/>
  <c r="Q202" i="10"/>
  <c r="Q218" i="10"/>
  <c r="Q234" i="10"/>
  <c r="Q51" i="10"/>
  <c r="Q138" i="10"/>
  <c r="Q21" i="10"/>
  <c r="Q43" i="10"/>
  <c r="Q66" i="10"/>
  <c r="Q85" i="10"/>
  <c r="Q107" i="10"/>
  <c r="Q130" i="10"/>
  <c r="Q149" i="10"/>
  <c r="Q171" i="10"/>
  <c r="Q187" i="10"/>
  <c r="Q203" i="10"/>
  <c r="Q219" i="10"/>
  <c r="Q235" i="10"/>
  <c r="Q10" i="10"/>
  <c r="Q93" i="10"/>
  <c r="Q178" i="10"/>
  <c r="Q242" i="10"/>
  <c r="Q26" i="10"/>
  <c r="Q45" i="10"/>
  <c r="Q67" i="10"/>
  <c r="Q90" i="10"/>
  <c r="Q109" i="10"/>
  <c r="Q131" i="10"/>
  <c r="Q154" i="10"/>
  <c r="Q173" i="10"/>
  <c r="Q189" i="10"/>
  <c r="Q205" i="10"/>
  <c r="Q221" i="10"/>
  <c r="Q237" i="10"/>
  <c r="Q74" i="10"/>
  <c r="Q115" i="10"/>
  <c r="Q194" i="10"/>
  <c r="Q226" i="10"/>
  <c r="Q5" i="10"/>
  <c r="Q27" i="10"/>
  <c r="Q50" i="10"/>
  <c r="Q69" i="10"/>
  <c r="Q91" i="10"/>
  <c r="Q114" i="10"/>
  <c r="Q133" i="10"/>
  <c r="Q155" i="10"/>
  <c r="Q177" i="10"/>
  <c r="Q193" i="10"/>
  <c r="Q209" i="10"/>
  <c r="Q225" i="10"/>
  <c r="Q241" i="10"/>
  <c r="Q29" i="10"/>
  <c r="Q157" i="10"/>
  <c r="Q210" i="10"/>
  <c r="Q13" i="10"/>
  <c r="Q35" i="10"/>
  <c r="Q58" i="10"/>
  <c r="Q77" i="10"/>
  <c r="Q99" i="10"/>
  <c r="Q122" i="10"/>
  <c r="Q141" i="10"/>
  <c r="Q163" i="10"/>
  <c r="Q181" i="10"/>
  <c r="Q197" i="10"/>
  <c r="Q213" i="10"/>
  <c r="Q229" i="10"/>
  <c r="Q18" i="10"/>
  <c r="Q37" i="10"/>
  <c r="Q59" i="10"/>
  <c r="Q82" i="10"/>
  <c r="Q101" i="10"/>
  <c r="Q123" i="10"/>
  <c r="Q146" i="10"/>
  <c r="Q165" i="10"/>
  <c r="Q185" i="10"/>
  <c r="Q201" i="10"/>
  <c r="Q217" i="10"/>
  <c r="Q233" i="10"/>
  <c r="Q53" i="10"/>
  <c r="Q211" i="10"/>
  <c r="Q75" i="10"/>
  <c r="Q227" i="10"/>
  <c r="Q139" i="10"/>
  <c r="Q195" i="10"/>
  <c r="Q98" i="10"/>
  <c r="Q243" i="10"/>
  <c r="Q11" i="10"/>
  <c r="Q117" i="10"/>
  <c r="Q162" i="10"/>
  <c r="Q179" i="10"/>
  <c r="Q34" i="10"/>
  <c r="S8" i="10"/>
  <c r="S16" i="10"/>
  <c r="S24" i="10"/>
  <c r="S32" i="10"/>
  <c r="S40" i="10"/>
  <c r="S48" i="10"/>
  <c r="S56" i="10"/>
  <c r="S64" i="10"/>
  <c r="S72" i="10"/>
  <c r="S80" i="10"/>
  <c r="S88" i="10"/>
  <c r="S96" i="10"/>
  <c r="S104" i="10"/>
  <c r="S112" i="10"/>
  <c r="S120" i="10"/>
  <c r="S128" i="10"/>
  <c r="S136" i="10"/>
  <c r="S144" i="10"/>
  <c r="S152" i="10"/>
  <c r="S160" i="10"/>
  <c r="S168" i="10"/>
  <c r="S176" i="10"/>
  <c r="S184" i="10"/>
  <c r="S192" i="10"/>
  <c r="S200" i="10"/>
  <c r="S208" i="10"/>
  <c r="S216" i="10"/>
  <c r="S224" i="10"/>
  <c r="S232" i="10"/>
  <c r="S240" i="10"/>
  <c r="S9" i="10"/>
  <c r="S17" i="10"/>
  <c r="S25" i="10"/>
  <c r="S33" i="10"/>
  <c r="S41" i="10"/>
  <c r="S49" i="10"/>
  <c r="S57" i="10"/>
  <c r="S65" i="10"/>
  <c r="S73" i="10"/>
  <c r="S81" i="10"/>
  <c r="S89" i="10"/>
  <c r="S97" i="10"/>
  <c r="S105" i="10"/>
  <c r="S113" i="10"/>
  <c r="S121" i="10"/>
  <c r="S129" i="10"/>
  <c r="S137" i="10"/>
  <c r="S145" i="10"/>
  <c r="S153" i="10"/>
  <c r="S161" i="10"/>
  <c r="S169" i="10"/>
  <c r="S177" i="10"/>
  <c r="S185" i="10"/>
  <c r="S193" i="10"/>
  <c r="S201" i="10"/>
  <c r="S209" i="10"/>
  <c r="S217" i="10"/>
  <c r="S225" i="10"/>
  <c r="S233" i="10"/>
  <c r="S241" i="10"/>
  <c r="S10" i="10"/>
  <c r="S18" i="10"/>
  <c r="S26" i="10"/>
  <c r="S34" i="10"/>
  <c r="S42" i="10"/>
  <c r="S50" i="10"/>
  <c r="S58" i="10"/>
  <c r="S66" i="10"/>
  <c r="S74" i="10"/>
  <c r="S82" i="10"/>
  <c r="S90" i="10"/>
  <c r="S98" i="10"/>
  <c r="S106" i="10"/>
  <c r="S114" i="10"/>
  <c r="S122" i="10"/>
  <c r="S130" i="10"/>
  <c r="S138" i="10"/>
  <c r="S146" i="10"/>
  <c r="S154" i="10"/>
  <c r="S162" i="10"/>
  <c r="S170" i="10"/>
  <c r="S178" i="10"/>
  <c r="S186" i="10"/>
  <c r="S194" i="10"/>
  <c r="S202" i="10"/>
  <c r="S210" i="10"/>
  <c r="S218" i="10"/>
  <c r="S226" i="10"/>
  <c r="S234" i="10"/>
  <c r="S242" i="10"/>
  <c r="S11" i="10"/>
  <c r="S19" i="10"/>
  <c r="S27" i="10"/>
  <c r="S35" i="10"/>
  <c r="S43" i="10"/>
  <c r="S51" i="10"/>
  <c r="S59" i="10"/>
  <c r="S67" i="10"/>
  <c r="S75" i="10"/>
  <c r="S83" i="10"/>
  <c r="S91" i="10"/>
  <c r="S99" i="10"/>
  <c r="S107" i="10"/>
  <c r="S115" i="10"/>
  <c r="S123" i="10"/>
  <c r="S131" i="10"/>
  <c r="S139" i="10"/>
  <c r="S147" i="10"/>
  <c r="S155" i="10"/>
  <c r="S163" i="10"/>
  <c r="S171" i="10"/>
  <c r="S179" i="10"/>
  <c r="S187" i="10"/>
  <c r="S195" i="10"/>
  <c r="S203" i="10"/>
  <c r="S211" i="10"/>
  <c r="S219" i="10"/>
  <c r="S227" i="10"/>
  <c r="S235" i="10"/>
  <c r="S243" i="10"/>
  <c r="S6" i="10"/>
  <c r="S22" i="10"/>
  <c r="S38" i="10"/>
  <c r="S54" i="10"/>
  <c r="S70" i="10"/>
  <c r="S86" i="10"/>
  <c r="S102" i="10"/>
  <c r="S118" i="10"/>
  <c r="S134" i="10"/>
  <c r="S150" i="10"/>
  <c r="S166" i="10"/>
  <c r="S182" i="10"/>
  <c r="S198" i="10"/>
  <c r="S214" i="10"/>
  <c r="S230" i="10"/>
  <c r="S7" i="10"/>
  <c r="S23" i="10"/>
  <c r="S39" i="10"/>
  <c r="S55" i="10"/>
  <c r="S71" i="10"/>
  <c r="S87" i="10"/>
  <c r="S103" i="10"/>
  <c r="S119" i="10"/>
  <c r="S135" i="10"/>
  <c r="S151" i="10"/>
  <c r="S167" i="10"/>
  <c r="S183" i="10"/>
  <c r="S199" i="10"/>
  <c r="S215" i="10"/>
  <c r="S231" i="10"/>
  <c r="S12" i="10"/>
  <c r="S28" i="10"/>
  <c r="S44" i="10"/>
  <c r="S60" i="10"/>
  <c r="S76" i="10"/>
  <c r="S92" i="10"/>
  <c r="S108" i="10"/>
  <c r="S124" i="10"/>
  <c r="S140" i="10"/>
  <c r="S156" i="10"/>
  <c r="S172" i="10"/>
  <c r="S188" i="10"/>
  <c r="S204" i="10"/>
  <c r="S220" i="10"/>
  <c r="S236" i="10"/>
  <c r="S13" i="10"/>
  <c r="S29" i="10"/>
  <c r="S45" i="10"/>
  <c r="S61" i="10"/>
  <c r="S77" i="10"/>
  <c r="S93" i="10"/>
  <c r="S109" i="10"/>
  <c r="S125" i="10"/>
  <c r="S141" i="10"/>
  <c r="S157" i="10"/>
  <c r="S173" i="10"/>
  <c r="S189" i="10"/>
  <c r="S205" i="10"/>
  <c r="S221" i="10"/>
  <c r="S237" i="10"/>
  <c r="S4" i="10"/>
  <c r="S20" i="10"/>
  <c r="S36" i="10"/>
  <c r="S52" i="10"/>
  <c r="S68" i="10"/>
  <c r="S84" i="10"/>
  <c r="S100" i="10"/>
  <c r="S116" i="10"/>
  <c r="S132" i="10"/>
  <c r="S148" i="10"/>
  <c r="S164" i="10"/>
  <c r="S180" i="10"/>
  <c r="S196" i="10"/>
  <c r="S212" i="10"/>
  <c r="S228" i="10"/>
  <c r="S244" i="10"/>
  <c r="S30" i="10"/>
  <c r="S69" i="10"/>
  <c r="S111" i="10"/>
  <c r="S158" i="10"/>
  <c r="S197" i="10"/>
  <c r="S239" i="10"/>
  <c r="S175" i="10"/>
  <c r="S31" i="10"/>
  <c r="S78" i="10"/>
  <c r="S117" i="10"/>
  <c r="S159" i="10"/>
  <c r="S206" i="10"/>
  <c r="S133" i="10"/>
  <c r="S37" i="10"/>
  <c r="S79" i="10"/>
  <c r="S126" i="10"/>
  <c r="S165" i="10"/>
  <c r="S207" i="10"/>
  <c r="S5" i="10"/>
  <c r="S94" i="10"/>
  <c r="S222" i="10"/>
  <c r="S46" i="10"/>
  <c r="S85" i="10"/>
  <c r="S127" i="10"/>
  <c r="S174" i="10"/>
  <c r="S213" i="10"/>
  <c r="S47" i="10"/>
  <c r="S15" i="10"/>
  <c r="S62" i="10"/>
  <c r="S101" i="10"/>
  <c r="S143" i="10"/>
  <c r="S190" i="10"/>
  <c r="S229" i="10"/>
  <c r="S21" i="10"/>
  <c r="S63" i="10"/>
  <c r="S110" i="10"/>
  <c r="S149" i="10"/>
  <c r="S191" i="10"/>
  <c r="S238" i="10"/>
  <c r="S14" i="10"/>
  <c r="S181" i="10"/>
  <c r="S223" i="10"/>
  <c r="S53" i="10"/>
  <c r="S95" i="10"/>
  <c r="S142" i="10"/>
  <c r="R6" i="10"/>
  <c r="R14" i="10"/>
  <c r="R22" i="10"/>
  <c r="R30" i="10"/>
  <c r="R38" i="10"/>
  <c r="R46" i="10"/>
  <c r="R54" i="10"/>
  <c r="R62" i="10"/>
  <c r="R70" i="10"/>
  <c r="R78" i="10"/>
  <c r="R86" i="10"/>
  <c r="R94" i="10"/>
  <c r="R102" i="10"/>
  <c r="R110" i="10"/>
  <c r="R118" i="10"/>
  <c r="R126" i="10"/>
  <c r="R7" i="10"/>
  <c r="R15" i="10"/>
  <c r="R23" i="10"/>
  <c r="R31" i="10"/>
  <c r="R39" i="10"/>
  <c r="R47" i="10"/>
  <c r="R55" i="10"/>
  <c r="R63" i="10"/>
  <c r="R71" i="10"/>
  <c r="R79" i="10"/>
  <c r="R87" i="10"/>
  <c r="R95" i="10"/>
  <c r="R103" i="10"/>
  <c r="R111" i="10"/>
  <c r="R119" i="10"/>
  <c r="R127" i="10"/>
  <c r="R8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120" i="10"/>
  <c r="R128" i="10"/>
  <c r="R136" i="10"/>
  <c r="R144" i="10"/>
  <c r="R9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121" i="10"/>
  <c r="R129" i="10"/>
  <c r="R137" i="10"/>
  <c r="R145" i="10"/>
  <c r="R4" i="10"/>
  <c r="R20" i="10"/>
  <c r="R36" i="10"/>
  <c r="R52" i="10"/>
  <c r="R68" i="10"/>
  <c r="R84" i="10"/>
  <c r="R100" i="10"/>
  <c r="R116" i="10"/>
  <c r="R132" i="10"/>
  <c r="R142" i="10"/>
  <c r="R152" i="10"/>
  <c r="R160" i="10"/>
  <c r="R168" i="10"/>
  <c r="R176" i="10"/>
  <c r="R184" i="10"/>
  <c r="R192" i="10"/>
  <c r="R200" i="10"/>
  <c r="R208" i="10"/>
  <c r="R216" i="10"/>
  <c r="R224" i="10"/>
  <c r="R232" i="10"/>
  <c r="R240" i="10"/>
  <c r="R5" i="10"/>
  <c r="R21" i="10"/>
  <c r="R37" i="10"/>
  <c r="R53" i="10"/>
  <c r="R69" i="10"/>
  <c r="R85" i="10"/>
  <c r="R101" i="10"/>
  <c r="R117" i="10"/>
  <c r="R133" i="10"/>
  <c r="R143" i="10"/>
  <c r="R153" i="10"/>
  <c r="R161" i="10"/>
  <c r="R169" i="10"/>
  <c r="R177" i="10"/>
  <c r="R185" i="10"/>
  <c r="R193" i="10"/>
  <c r="R201" i="10"/>
  <c r="R209" i="10"/>
  <c r="R217" i="10"/>
  <c r="R225" i="10"/>
  <c r="R233" i="10"/>
  <c r="R241" i="10"/>
  <c r="R10" i="10"/>
  <c r="R26" i="10"/>
  <c r="R42" i="10"/>
  <c r="R58" i="10"/>
  <c r="R74" i="10"/>
  <c r="R90" i="10"/>
  <c r="R106" i="10"/>
  <c r="R122" i="10"/>
  <c r="R134" i="10"/>
  <c r="R146" i="10"/>
  <c r="R154" i="10"/>
  <c r="R162" i="10"/>
  <c r="R170" i="10"/>
  <c r="R178" i="10"/>
  <c r="R186" i="10"/>
  <c r="R194" i="10"/>
  <c r="R202" i="10"/>
  <c r="R210" i="10"/>
  <c r="R218" i="10"/>
  <c r="R226" i="10"/>
  <c r="R234" i="10"/>
  <c r="R242" i="10"/>
  <c r="R11" i="10"/>
  <c r="R27" i="10"/>
  <c r="R43" i="10"/>
  <c r="R59" i="10"/>
  <c r="R75" i="10"/>
  <c r="R91" i="10"/>
  <c r="R107" i="10"/>
  <c r="R123" i="10"/>
  <c r="R135" i="10"/>
  <c r="R147" i="10"/>
  <c r="R155" i="10"/>
  <c r="R163" i="10"/>
  <c r="R171" i="10"/>
  <c r="R179" i="10"/>
  <c r="R187" i="10"/>
  <c r="R195" i="10"/>
  <c r="R203" i="10"/>
  <c r="R211" i="10"/>
  <c r="R219" i="10"/>
  <c r="R227" i="10"/>
  <c r="R235" i="10"/>
  <c r="R243" i="10"/>
  <c r="R18" i="10"/>
  <c r="R34" i="10"/>
  <c r="R50" i="10"/>
  <c r="R66" i="10"/>
  <c r="R82" i="10"/>
  <c r="R98" i="10"/>
  <c r="R114" i="10"/>
  <c r="R130" i="10"/>
  <c r="R140" i="10"/>
  <c r="R150" i="10"/>
  <c r="R158" i="10"/>
  <c r="R166" i="10"/>
  <c r="R174" i="10"/>
  <c r="R182" i="10"/>
  <c r="R190" i="10"/>
  <c r="R198" i="10"/>
  <c r="R206" i="10"/>
  <c r="R214" i="10"/>
  <c r="R222" i="10"/>
  <c r="R230" i="10"/>
  <c r="R238" i="10"/>
  <c r="R44" i="10"/>
  <c r="R83" i="10"/>
  <c r="R125" i="10"/>
  <c r="R156" i="10"/>
  <c r="R175" i="10"/>
  <c r="R197" i="10"/>
  <c r="R220" i="10"/>
  <c r="R239" i="10"/>
  <c r="R108" i="10"/>
  <c r="R207" i="10"/>
  <c r="R45" i="10"/>
  <c r="R92" i="10"/>
  <c r="R131" i="10"/>
  <c r="R157" i="10"/>
  <c r="R180" i="10"/>
  <c r="R199" i="10"/>
  <c r="R221" i="10"/>
  <c r="R244" i="10"/>
  <c r="R19" i="10"/>
  <c r="R165" i="10"/>
  <c r="R12" i="10"/>
  <c r="R51" i="10"/>
  <c r="R93" i="10"/>
  <c r="R138" i="10"/>
  <c r="R159" i="10"/>
  <c r="R181" i="10"/>
  <c r="R204" i="10"/>
  <c r="R223" i="10"/>
  <c r="R141" i="10"/>
  <c r="R229" i="10"/>
  <c r="R13" i="10"/>
  <c r="R60" i="10"/>
  <c r="R99" i="10"/>
  <c r="R139" i="10"/>
  <c r="R164" i="10"/>
  <c r="R183" i="10"/>
  <c r="R205" i="10"/>
  <c r="R228" i="10"/>
  <c r="R61" i="10"/>
  <c r="R188" i="10"/>
  <c r="R29" i="10"/>
  <c r="R76" i="10"/>
  <c r="R115" i="10"/>
  <c r="R149" i="10"/>
  <c r="R172" i="10"/>
  <c r="R191" i="10"/>
  <c r="R213" i="10"/>
  <c r="R236" i="10"/>
  <c r="R35" i="10"/>
  <c r="R77" i="10"/>
  <c r="R124" i="10"/>
  <c r="R151" i="10"/>
  <c r="R173" i="10"/>
  <c r="R196" i="10"/>
  <c r="R215" i="10"/>
  <c r="R237" i="10"/>
  <c r="R109" i="10"/>
  <c r="R28" i="10"/>
  <c r="R67" i="10"/>
  <c r="R148" i="10"/>
  <c r="R231" i="10"/>
  <c r="R167" i="10"/>
  <c r="R189" i="10"/>
  <c r="R212" i="10"/>
  <c r="J6" i="10"/>
  <c r="J14" i="10"/>
  <c r="J22" i="10"/>
  <c r="J30" i="10"/>
  <c r="J38" i="10"/>
  <c r="J46" i="10"/>
  <c r="J54" i="10"/>
  <c r="J62" i="10"/>
  <c r="J70" i="10"/>
  <c r="J78" i="10"/>
  <c r="J86" i="10"/>
  <c r="J94" i="10"/>
  <c r="J102" i="10"/>
  <c r="J110" i="10"/>
  <c r="J118" i="10"/>
  <c r="J126" i="10"/>
  <c r="J134" i="10"/>
  <c r="J142" i="10"/>
  <c r="J150" i="10"/>
  <c r="J158" i="10"/>
  <c r="J166" i="10"/>
  <c r="J174" i="10"/>
  <c r="J182" i="10"/>
  <c r="J190" i="10"/>
  <c r="J198" i="10"/>
  <c r="J206" i="10"/>
  <c r="J214" i="10"/>
  <c r="J222" i="10"/>
  <c r="J230" i="10"/>
  <c r="J238" i="10"/>
  <c r="J241" i="10"/>
  <c r="J13" i="10"/>
  <c r="J37" i="10"/>
  <c r="J61" i="10"/>
  <c r="J69" i="10"/>
  <c r="J93" i="10"/>
  <c r="J117" i="10"/>
  <c r="J157" i="10"/>
  <c r="J181" i="10"/>
  <c r="J213" i="10"/>
  <c r="J7" i="10"/>
  <c r="J15" i="10"/>
  <c r="J23" i="10"/>
  <c r="J31" i="10"/>
  <c r="J39" i="10"/>
  <c r="J47" i="10"/>
  <c r="J55" i="10"/>
  <c r="J63" i="10"/>
  <c r="J71" i="10"/>
  <c r="J79" i="10"/>
  <c r="J87" i="10"/>
  <c r="J95" i="10"/>
  <c r="J103" i="10"/>
  <c r="J111" i="10"/>
  <c r="J119" i="10"/>
  <c r="J127" i="10"/>
  <c r="J135" i="10"/>
  <c r="J143" i="10"/>
  <c r="J151" i="10"/>
  <c r="J159" i="10"/>
  <c r="J167" i="10"/>
  <c r="J175" i="10"/>
  <c r="J183" i="10"/>
  <c r="J191" i="10"/>
  <c r="J199" i="10"/>
  <c r="J207" i="10"/>
  <c r="J215" i="10"/>
  <c r="J223" i="10"/>
  <c r="J231" i="10"/>
  <c r="J239" i="10"/>
  <c r="J233" i="10"/>
  <c r="J5" i="10"/>
  <c r="J101" i="10"/>
  <c r="J141" i="10"/>
  <c r="J173" i="10"/>
  <c r="J197" i="10"/>
  <c r="J229" i="10"/>
  <c r="J8" i="10"/>
  <c r="J16" i="10"/>
  <c r="J24" i="10"/>
  <c r="J32" i="10"/>
  <c r="J40" i="10"/>
  <c r="J48" i="10"/>
  <c r="J56" i="10"/>
  <c r="J64" i="10"/>
  <c r="J72" i="10"/>
  <c r="J80" i="10"/>
  <c r="J88" i="10"/>
  <c r="J96" i="10"/>
  <c r="J104" i="10"/>
  <c r="J112" i="10"/>
  <c r="J120" i="10"/>
  <c r="J128" i="10"/>
  <c r="J136" i="10"/>
  <c r="J144" i="10"/>
  <c r="J152" i="10"/>
  <c r="J160" i="10"/>
  <c r="J168" i="10"/>
  <c r="J176" i="10"/>
  <c r="J184" i="10"/>
  <c r="J192" i="10"/>
  <c r="J200" i="10"/>
  <c r="J208" i="10"/>
  <c r="J216" i="10"/>
  <c r="J224" i="10"/>
  <c r="J232" i="10"/>
  <c r="J240" i="10"/>
  <c r="J225" i="10"/>
  <c r="J21" i="10"/>
  <c r="J109" i="10"/>
  <c r="J133" i="10"/>
  <c r="J165" i="10"/>
  <c r="J205" i="10"/>
  <c r="J237" i="10"/>
  <c r="J9" i="10"/>
  <c r="J17" i="10"/>
  <c r="J25" i="10"/>
  <c r="J33" i="10"/>
  <c r="J41" i="10"/>
  <c r="J49" i="10"/>
  <c r="J57" i="10"/>
  <c r="J65" i="10"/>
  <c r="J73" i="10"/>
  <c r="J81" i="10"/>
  <c r="J89" i="10"/>
  <c r="J97" i="10"/>
  <c r="J105" i="10"/>
  <c r="J113" i="10"/>
  <c r="J121" i="10"/>
  <c r="J129" i="10"/>
  <c r="J137" i="10"/>
  <c r="J145" i="10"/>
  <c r="J153" i="10"/>
  <c r="J161" i="10"/>
  <c r="J169" i="10"/>
  <c r="J177" i="10"/>
  <c r="J185" i="10"/>
  <c r="J193" i="10"/>
  <c r="J201" i="10"/>
  <c r="J209" i="10"/>
  <c r="J217" i="10"/>
  <c r="J10" i="10"/>
  <c r="J18" i="10"/>
  <c r="J26" i="10"/>
  <c r="J34" i="10"/>
  <c r="J42" i="10"/>
  <c r="J50" i="10"/>
  <c r="J58" i="10"/>
  <c r="J66" i="10"/>
  <c r="J74" i="10"/>
  <c r="J82" i="10"/>
  <c r="J90" i="10"/>
  <c r="J98" i="10"/>
  <c r="J106" i="10"/>
  <c r="J114" i="10"/>
  <c r="J122" i="10"/>
  <c r="J130" i="10"/>
  <c r="J138" i="10"/>
  <c r="J146" i="10"/>
  <c r="J154" i="10"/>
  <c r="J162" i="10"/>
  <c r="J170" i="10"/>
  <c r="J178" i="10"/>
  <c r="J186" i="10"/>
  <c r="J194" i="10"/>
  <c r="J202" i="10"/>
  <c r="J210" i="10"/>
  <c r="J218" i="10"/>
  <c r="J226" i="10"/>
  <c r="J234" i="10"/>
  <c r="J242" i="10"/>
  <c r="J3" i="10"/>
  <c r="J11" i="10"/>
  <c r="J19" i="10"/>
  <c r="J27" i="10"/>
  <c r="J35" i="10"/>
  <c r="J43" i="10"/>
  <c r="J51" i="10"/>
  <c r="J59" i="10"/>
  <c r="J67" i="10"/>
  <c r="J75" i="10"/>
  <c r="J83" i="10"/>
  <c r="J91" i="10"/>
  <c r="J99" i="10"/>
  <c r="J107" i="10"/>
  <c r="J115" i="10"/>
  <c r="J123" i="10"/>
  <c r="J131" i="10"/>
  <c r="J139" i="10"/>
  <c r="J147" i="10"/>
  <c r="J155" i="10"/>
  <c r="J163" i="10"/>
  <c r="J171" i="10"/>
  <c r="J179" i="10"/>
  <c r="J187" i="10"/>
  <c r="J195" i="10"/>
  <c r="J203" i="10"/>
  <c r="J211" i="10"/>
  <c r="J219" i="10"/>
  <c r="J227" i="10"/>
  <c r="J235" i="10"/>
  <c r="J243" i="10"/>
  <c r="J4" i="10"/>
  <c r="J12" i="10"/>
  <c r="J20" i="10"/>
  <c r="J28" i="10"/>
  <c r="J36" i="10"/>
  <c r="J44" i="10"/>
  <c r="J52" i="10"/>
  <c r="J60" i="10"/>
  <c r="J68" i="10"/>
  <c r="J76" i="10"/>
  <c r="J84" i="10"/>
  <c r="J92" i="10"/>
  <c r="J100" i="10"/>
  <c r="J108" i="10"/>
  <c r="J116" i="10"/>
  <c r="J124" i="10"/>
  <c r="J132" i="10"/>
  <c r="J140" i="10"/>
  <c r="J148" i="10"/>
  <c r="J156" i="10"/>
  <c r="J164" i="10"/>
  <c r="J172" i="10"/>
  <c r="J180" i="10"/>
  <c r="J188" i="10"/>
  <c r="J196" i="10"/>
  <c r="J204" i="10"/>
  <c r="J212" i="10"/>
  <c r="J220" i="10"/>
  <c r="J228" i="10"/>
  <c r="J236" i="10"/>
  <c r="J244" i="10"/>
  <c r="J29" i="10"/>
  <c r="J45" i="10"/>
  <c r="J53" i="10"/>
  <c r="J77" i="10"/>
  <c r="J85" i="10"/>
  <c r="J125" i="10"/>
  <c r="J149" i="10"/>
  <c r="J189" i="10"/>
  <c r="J221" i="10"/>
  <c r="A2" i="10"/>
  <c r="J2" i="10" s="1"/>
  <c r="C2" i="10"/>
  <c r="Q3" i="10" s="1"/>
  <c r="E2" i="10"/>
  <c r="D2" i="10"/>
  <c r="R3" i="10" s="1"/>
  <c r="A2" i="8"/>
  <c r="E2" i="8"/>
  <c r="D2" i="8"/>
  <c r="C2" i="8"/>
  <c r="J3" i="2"/>
  <c r="J11" i="2"/>
  <c r="J19" i="2"/>
  <c r="J27" i="2"/>
  <c r="J35" i="2"/>
  <c r="J43" i="2"/>
  <c r="J51" i="2"/>
  <c r="J59" i="2"/>
  <c r="J67" i="2"/>
  <c r="J75" i="2"/>
  <c r="J83" i="2"/>
  <c r="J91" i="2"/>
  <c r="J99" i="2"/>
  <c r="J107" i="2"/>
  <c r="J115" i="2"/>
  <c r="J4" i="2"/>
  <c r="J12" i="2"/>
  <c r="J20" i="2"/>
  <c r="J28" i="2"/>
  <c r="J36" i="2"/>
  <c r="J44" i="2"/>
  <c r="J52" i="2"/>
  <c r="J60" i="2"/>
  <c r="J68" i="2"/>
  <c r="J76" i="2"/>
  <c r="J84" i="2"/>
  <c r="J92" i="2"/>
  <c r="J100" i="2"/>
  <c r="J108" i="2"/>
  <c r="J116" i="2"/>
  <c r="J5" i="2"/>
  <c r="J13" i="2"/>
  <c r="J21" i="2"/>
  <c r="J29" i="2"/>
  <c r="J37" i="2"/>
  <c r="J45" i="2"/>
  <c r="J53" i="2"/>
  <c r="J61" i="2"/>
  <c r="J69" i="2"/>
  <c r="J77" i="2"/>
  <c r="J85" i="2"/>
  <c r="J93" i="2"/>
  <c r="J101" i="2"/>
  <c r="J109" i="2"/>
  <c r="J117" i="2"/>
  <c r="J125" i="2"/>
  <c r="J133" i="2"/>
  <c r="J141" i="2"/>
  <c r="J149" i="2"/>
  <c r="J157" i="2"/>
  <c r="J165" i="2"/>
  <c r="J173" i="2"/>
  <c r="J181" i="2"/>
  <c r="J189" i="2"/>
  <c r="J6" i="2"/>
  <c r="J14" i="2"/>
  <c r="J22" i="2"/>
  <c r="J30" i="2"/>
  <c r="J38" i="2"/>
  <c r="J46" i="2"/>
  <c r="J54" i="2"/>
  <c r="J62" i="2"/>
  <c r="J70" i="2"/>
  <c r="J78" i="2"/>
  <c r="J86" i="2"/>
  <c r="J9" i="2"/>
  <c r="J17" i="2"/>
  <c r="J25" i="2"/>
  <c r="J33" i="2"/>
  <c r="J41" i="2"/>
  <c r="J49" i="2"/>
  <c r="J57" i="2"/>
  <c r="J65" i="2"/>
  <c r="J73" i="2"/>
  <c r="J81" i="2"/>
  <c r="J89" i="2"/>
  <c r="J97" i="2"/>
  <c r="J105" i="2"/>
  <c r="J113" i="2"/>
  <c r="J121" i="2"/>
  <c r="J129" i="2"/>
  <c r="J137" i="2"/>
  <c r="J145" i="2"/>
  <c r="J153" i="2"/>
  <c r="J161" i="2"/>
  <c r="J169" i="2"/>
  <c r="J177" i="2"/>
  <c r="J185" i="2"/>
  <c r="J193" i="2"/>
  <c r="J23" i="2"/>
  <c r="J42" i="2"/>
  <c r="J64" i="2"/>
  <c r="J87" i="2"/>
  <c r="J103" i="2"/>
  <c r="J119" i="2"/>
  <c r="J130" i="2"/>
  <c r="J140" i="2"/>
  <c r="J151" i="2"/>
  <c r="J162" i="2"/>
  <c r="J172" i="2"/>
  <c r="J183" i="2"/>
  <c r="J194" i="2"/>
  <c r="J202" i="2"/>
  <c r="J210" i="2"/>
  <c r="J218" i="2"/>
  <c r="J226" i="2"/>
  <c r="J234" i="2"/>
  <c r="J242" i="2"/>
  <c r="J2" i="2"/>
  <c r="J24" i="2"/>
  <c r="J47" i="2"/>
  <c r="J66" i="2"/>
  <c r="J88" i="2"/>
  <c r="J104" i="2"/>
  <c r="J120" i="2"/>
  <c r="J131" i="2"/>
  <c r="J142" i="2"/>
  <c r="J152" i="2"/>
  <c r="J163" i="2"/>
  <c r="J174" i="2"/>
  <c r="J184" i="2"/>
  <c r="J195" i="2"/>
  <c r="J203" i="2"/>
  <c r="J211" i="2"/>
  <c r="J219" i="2"/>
  <c r="J227" i="2"/>
  <c r="J235" i="2"/>
  <c r="J243" i="2"/>
  <c r="J7" i="2"/>
  <c r="J26" i="2"/>
  <c r="J48" i="2"/>
  <c r="J71" i="2"/>
  <c r="J90" i="2"/>
  <c r="J106" i="2"/>
  <c r="J122" i="2"/>
  <c r="J132" i="2"/>
  <c r="J143" i="2"/>
  <c r="J154" i="2"/>
  <c r="J164" i="2"/>
  <c r="J175" i="2"/>
  <c r="J186" i="2"/>
  <c r="J196" i="2"/>
  <c r="J204" i="2"/>
  <c r="J212" i="2"/>
  <c r="J220" i="2"/>
  <c r="J228" i="2"/>
  <c r="J236" i="2"/>
  <c r="J244" i="2"/>
  <c r="J8" i="2"/>
  <c r="J31" i="2"/>
  <c r="J50" i="2"/>
  <c r="J72" i="2"/>
  <c r="J94" i="2"/>
  <c r="J110" i="2"/>
  <c r="J123" i="2"/>
  <c r="J134" i="2"/>
  <c r="J144" i="2"/>
  <c r="J155" i="2"/>
  <c r="J166" i="2"/>
  <c r="J176" i="2"/>
  <c r="J187" i="2"/>
  <c r="J197" i="2"/>
  <c r="J205" i="2"/>
  <c r="J213" i="2"/>
  <c r="J221" i="2"/>
  <c r="J229" i="2"/>
  <c r="J237" i="2"/>
  <c r="J10" i="2"/>
  <c r="J32" i="2"/>
  <c r="J55" i="2"/>
  <c r="J74" i="2"/>
  <c r="J95" i="2"/>
  <c r="J111" i="2"/>
  <c r="J124" i="2"/>
  <c r="J135" i="2"/>
  <c r="J146" i="2"/>
  <c r="J156" i="2"/>
  <c r="J167" i="2"/>
  <c r="J178" i="2"/>
  <c r="J188" i="2"/>
  <c r="J16" i="2"/>
  <c r="J39" i="2"/>
  <c r="J58" i="2"/>
  <c r="J80" i="2"/>
  <c r="J98" i="2"/>
  <c r="J114" i="2"/>
  <c r="J127" i="2"/>
  <c r="J138" i="2"/>
  <c r="J148" i="2"/>
  <c r="J159" i="2"/>
  <c r="J170" i="2"/>
  <c r="J180" i="2"/>
  <c r="J191" i="2"/>
  <c r="J200" i="2"/>
  <c r="J208" i="2"/>
  <c r="J216" i="2"/>
  <c r="J224" i="2"/>
  <c r="J232" i="2"/>
  <c r="J240" i="2"/>
  <c r="J18" i="2"/>
  <c r="J40" i="2"/>
  <c r="J63" i="2"/>
  <c r="J82" i="2"/>
  <c r="J102" i="2"/>
  <c r="J118" i="2"/>
  <c r="J128" i="2"/>
  <c r="J139" i="2"/>
  <c r="J150" i="2"/>
  <c r="J160" i="2"/>
  <c r="J171" i="2"/>
  <c r="J182" i="2"/>
  <c r="J192" i="2"/>
  <c r="J201" i="2"/>
  <c r="J209" i="2"/>
  <c r="J217" i="2"/>
  <c r="J225" i="2"/>
  <c r="J233" i="2"/>
  <c r="J241" i="2"/>
  <c r="J15" i="2"/>
  <c r="J147" i="2"/>
  <c r="J207" i="2"/>
  <c r="J239" i="2"/>
  <c r="J214" i="2"/>
  <c r="J56" i="2"/>
  <c r="J168" i="2"/>
  <c r="J79" i="2"/>
  <c r="J190" i="2"/>
  <c r="J230" i="2"/>
  <c r="J126" i="2"/>
  <c r="J206" i="2"/>
  <c r="J34" i="2"/>
  <c r="J158" i="2"/>
  <c r="J222" i="2"/>
  <c r="J223" i="2"/>
  <c r="J198" i="2"/>
  <c r="J231" i="2"/>
  <c r="J136" i="2"/>
  <c r="J215" i="2"/>
  <c r="J179" i="2"/>
  <c r="J96" i="2"/>
  <c r="J112" i="2"/>
  <c r="J199" i="2"/>
  <c r="J238" i="2"/>
  <c r="A2" i="2"/>
  <c r="E2" i="2" a="1"/>
  <c r="N3" i="10" l="1"/>
  <c r="L40" i="10"/>
  <c r="M40" i="10"/>
  <c r="K40" i="10"/>
  <c r="M168" i="10"/>
  <c r="K168" i="10"/>
  <c r="L168" i="10"/>
  <c r="L188" i="10"/>
  <c r="K188" i="10"/>
  <c r="M188" i="10"/>
  <c r="K104" i="10"/>
  <c r="L104" i="10"/>
  <c r="M104" i="10"/>
  <c r="L244" i="10"/>
  <c r="K244" i="10"/>
  <c r="M244" i="10"/>
  <c r="M63" i="10"/>
  <c r="L63" i="10"/>
  <c r="K63" i="10"/>
  <c r="S3" i="10"/>
  <c r="T3" i="10" s="1"/>
  <c r="U3" i="10" s="1"/>
  <c r="X3" i="10" s="1"/>
  <c r="K125" i="10"/>
  <c r="L125" i="10"/>
  <c r="M125" i="10"/>
  <c r="L210" i="10"/>
  <c r="M210" i="10"/>
  <c r="K210" i="10"/>
  <c r="L21" i="10"/>
  <c r="K21" i="10"/>
  <c r="M21" i="10"/>
  <c r="L231" i="10"/>
  <c r="M231" i="10"/>
  <c r="K231" i="10"/>
  <c r="L82" i="10"/>
  <c r="K82" i="10"/>
  <c r="M82" i="10"/>
  <c r="K3" i="10"/>
  <c r="M3" i="10"/>
  <c r="L3" i="10"/>
  <c r="M145" i="10"/>
  <c r="K145" i="10"/>
  <c r="L145" i="10"/>
  <c r="M8" i="2"/>
  <c r="M16" i="2"/>
  <c r="M24" i="2"/>
  <c r="M32" i="2"/>
  <c r="M40" i="2"/>
  <c r="M48" i="2"/>
  <c r="M56" i="2"/>
  <c r="M9" i="2"/>
  <c r="M17" i="2"/>
  <c r="M25" i="2"/>
  <c r="M33" i="2"/>
  <c r="M41" i="2"/>
  <c r="M49" i="2"/>
  <c r="M57" i="2"/>
  <c r="M65" i="2"/>
  <c r="M73" i="2"/>
  <c r="M81" i="2"/>
  <c r="M89" i="2"/>
  <c r="M97" i="2"/>
  <c r="M105" i="2"/>
  <c r="M113" i="2"/>
  <c r="M121" i="2"/>
  <c r="M129" i="2"/>
  <c r="M137" i="2"/>
  <c r="M145" i="2"/>
  <c r="M153" i="2"/>
  <c r="M161" i="2"/>
  <c r="M169" i="2"/>
  <c r="M177" i="2"/>
  <c r="M185" i="2"/>
  <c r="M193" i="2"/>
  <c r="M201" i="2"/>
  <c r="M209" i="2"/>
  <c r="M217" i="2"/>
  <c r="M225" i="2"/>
  <c r="M233" i="2"/>
  <c r="M241" i="2"/>
  <c r="M10" i="2"/>
  <c r="M18" i="2"/>
  <c r="M26" i="2"/>
  <c r="M34" i="2"/>
  <c r="M42" i="2"/>
  <c r="M50" i="2"/>
  <c r="M58" i="2"/>
  <c r="M66" i="2"/>
  <c r="M74" i="2"/>
  <c r="M82" i="2"/>
  <c r="M90" i="2"/>
  <c r="M98" i="2"/>
  <c r="M106" i="2"/>
  <c r="M114" i="2"/>
  <c r="M122" i="2"/>
  <c r="M130" i="2"/>
  <c r="M138" i="2"/>
  <c r="M146" i="2"/>
  <c r="M154" i="2"/>
  <c r="M162" i="2"/>
  <c r="M170" i="2"/>
  <c r="M178" i="2"/>
  <c r="M186" i="2"/>
  <c r="M194" i="2"/>
  <c r="M202" i="2"/>
  <c r="M210" i="2"/>
  <c r="M218" i="2"/>
  <c r="M226" i="2"/>
  <c r="M234" i="2"/>
  <c r="M242" i="2"/>
  <c r="M3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M131" i="2"/>
  <c r="M139" i="2"/>
  <c r="M147" i="2"/>
  <c r="M155" i="2"/>
  <c r="M163" i="2"/>
  <c r="M171" i="2"/>
  <c r="M179" i="2"/>
  <c r="M187" i="2"/>
  <c r="M195" i="2"/>
  <c r="M203" i="2"/>
  <c r="M211" i="2"/>
  <c r="M219" i="2"/>
  <c r="M227" i="2"/>
  <c r="M235" i="2"/>
  <c r="M243" i="2"/>
  <c r="M4" i="2"/>
  <c r="M12" i="2"/>
  <c r="M20" i="2"/>
  <c r="M28" i="2"/>
  <c r="M36" i="2"/>
  <c r="M44" i="2"/>
  <c r="M52" i="2"/>
  <c r="M60" i="2"/>
  <c r="M68" i="2"/>
  <c r="M76" i="2"/>
  <c r="M84" i="2"/>
  <c r="M92" i="2"/>
  <c r="M100" i="2"/>
  <c r="M108" i="2"/>
  <c r="M116" i="2"/>
  <c r="M124" i="2"/>
  <c r="M132" i="2"/>
  <c r="M140" i="2"/>
  <c r="M148" i="2"/>
  <c r="M156" i="2"/>
  <c r="M164" i="2"/>
  <c r="M172" i="2"/>
  <c r="M180" i="2"/>
  <c r="M6" i="2"/>
  <c r="M14" i="2"/>
  <c r="M22" i="2"/>
  <c r="M30" i="2"/>
  <c r="M38" i="2"/>
  <c r="M46" i="2"/>
  <c r="M54" i="2"/>
  <c r="M62" i="2"/>
  <c r="M70" i="2"/>
  <c r="M78" i="2"/>
  <c r="M86" i="2"/>
  <c r="M94" i="2"/>
  <c r="M102" i="2"/>
  <c r="M110" i="2"/>
  <c r="M118" i="2"/>
  <c r="M126" i="2"/>
  <c r="M134" i="2"/>
  <c r="M142" i="2"/>
  <c r="M150" i="2"/>
  <c r="M158" i="2"/>
  <c r="M166" i="2"/>
  <c r="M174" i="2"/>
  <c r="M182" i="2"/>
  <c r="M190" i="2"/>
  <c r="M198" i="2"/>
  <c r="M206" i="2"/>
  <c r="M214" i="2"/>
  <c r="M222" i="2"/>
  <c r="M230" i="2"/>
  <c r="M238" i="2"/>
  <c r="M21" i="2"/>
  <c r="M53" i="2"/>
  <c r="M77" i="2"/>
  <c r="M96" i="2"/>
  <c r="M119" i="2"/>
  <c r="M141" i="2"/>
  <c r="M160" i="2"/>
  <c r="M183" i="2"/>
  <c r="M199" i="2"/>
  <c r="M215" i="2"/>
  <c r="M231" i="2"/>
  <c r="M23" i="2"/>
  <c r="M55" i="2"/>
  <c r="M79" i="2"/>
  <c r="M101" i="2"/>
  <c r="M120" i="2"/>
  <c r="M143" i="2"/>
  <c r="M165" i="2"/>
  <c r="M184" i="2"/>
  <c r="M200" i="2"/>
  <c r="M216" i="2"/>
  <c r="M232" i="2"/>
  <c r="M29" i="2"/>
  <c r="M61" i="2"/>
  <c r="M80" i="2"/>
  <c r="M103" i="2"/>
  <c r="M125" i="2"/>
  <c r="M144" i="2"/>
  <c r="M167" i="2"/>
  <c r="M188" i="2"/>
  <c r="M204" i="2"/>
  <c r="M220" i="2"/>
  <c r="M236" i="2"/>
  <c r="M31" i="2"/>
  <c r="M63" i="2"/>
  <c r="M85" i="2"/>
  <c r="M104" i="2"/>
  <c r="M127" i="2"/>
  <c r="M149" i="2"/>
  <c r="M168" i="2"/>
  <c r="M189" i="2"/>
  <c r="M205" i="2"/>
  <c r="M221" i="2"/>
  <c r="M237" i="2"/>
  <c r="M13" i="2"/>
  <c r="M45" i="2"/>
  <c r="M71" i="2"/>
  <c r="M93" i="2"/>
  <c r="M112" i="2"/>
  <c r="M135" i="2"/>
  <c r="M157" i="2"/>
  <c r="M176" i="2"/>
  <c r="M196" i="2"/>
  <c r="M212" i="2"/>
  <c r="M228" i="2"/>
  <c r="M244" i="2"/>
  <c r="M37" i="2"/>
  <c r="M95" i="2"/>
  <c r="M152" i="2"/>
  <c r="M207" i="2"/>
  <c r="M39" i="2"/>
  <c r="M109" i="2"/>
  <c r="M159" i="2"/>
  <c r="M208" i="2"/>
  <c r="M47" i="2"/>
  <c r="M111" i="2"/>
  <c r="M173" i="2"/>
  <c r="M213" i="2"/>
  <c r="M64" i="2"/>
  <c r="M117" i="2"/>
  <c r="M175" i="2"/>
  <c r="M223" i="2"/>
  <c r="M69" i="2"/>
  <c r="M128" i="2"/>
  <c r="M181" i="2"/>
  <c r="M224" i="2"/>
  <c r="M7" i="2"/>
  <c r="M87" i="2"/>
  <c r="M136" i="2"/>
  <c r="M192" i="2"/>
  <c r="M239" i="2"/>
  <c r="M15" i="2"/>
  <c r="M88" i="2"/>
  <c r="M151" i="2"/>
  <c r="M197" i="2"/>
  <c r="M240" i="2"/>
  <c r="M5" i="2"/>
  <c r="M191" i="2"/>
  <c r="M229" i="2"/>
  <c r="M72" i="2"/>
  <c r="M133" i="2"/>
  <c r="E2" i="2"/>
  <c r="M2" i="2" s="1"/>
  <c r="I2" i="1" a="1"/>
  <c r="H2" i="1" a="1"/>
  <c r="G2" i="1" a="1"/>
  <c r="F2" i="1" a="1"/>
  <c r="C2" i="2" a="1"/>
  <c r="A2" i="1" a="1"/>
  <c r="D2" i="1" a="1"/>
  <c r="E2" i="1" a="1"/>
  <c r="K2" i="1" a="1"/>
  <c r="C2" i="1" a="1"/>
  <c r="J2" i="1" a="1"/>
  <c r="D2" i="2" a="1"/>
  <c r="W3" i="10" l="1"/>
  <c r="M4" i="10"/>
  <c r="T4" i="10"/>
  <c r="U4" i="10" s="1"/>
  <c r="X4" i="10" s="1"/>
  <c r="O3" i="10"/>
  <c r="V3" i="10" s="1"/>
  <c r="Y3" i="10" s="1"/>
  <c r="K4" i="10"/>
  <c r="L4" i="10"/>
  <c r="N4" i="10"/>
  <c r="K7" i="2"/>
  <c r="K15" i="2"/>
  <c r="K23" i="2"/>
  <c r="K31" i="2"/>
  <c r="K39" i="2"/>
  <c r="K47" i="2"/>
  <c r="K55" i="2"/>
  <c r="K63" i="2"/>
  <c r="K71" i="2"/>
  <c r="K79" i="2"/>
  <c r="K87" i="2"/>
  <c r="K95" i="2"/>
  <c r="K103" i="2"/>
  <c r="K111" i="2"/>
  <c r="K119" i="2"/>
  <c r="K127" i="2"/>
  <c r="K135" i="2"/>
  <c r="K143" i="2"/>
  <c r="K151" i="2"/>
  <c r="K159" i="2"/>
  <c r="K167" i="2"/>
  <c r="K175" i="2"/>
  <c r="K183" i="2"/>
  <c r="K191" i="2"/>
  <c r="K199" i="2"/>
  <c r="K207" i="2"/>
  <c r="K215" i="2"/>
  <c r="K223" i="2"/>
  <c r="K231" i="2"/>
  <c r="K239" i="2"/>
  <c r="K8" i="2"/>
  <c r="K16" i="2"/>
  <c r="K24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2" i="2"/>
  <c r="K160" i="2"/>
  <c r="K168" i="2"/>
  <c r="K176" i="2"/>
  <c r="K184" i="2"/>
  <c r="K192" i="2"/>
  <c r="K200" i="2"/>
  <c r="K208" i="2"/>
  <c r="K216" i="2"/>
  <c r="K224" i="2"/>
  <c r="K232" i="2"/>
  <c r="K240" i="2"/>
  <c r="K9" i="2"/>
  <c r="K17" i="2"/>
  <c r="K25" i="2"/>
  <c r="K33" i="2"/>
  <c r="K41" i="2"/>
  <c r="K49" i="2"/>
  <c r="K57" i="2"/>
  <c r="K65" i="2"/>
  <c r="K73" i="2"/>
  <c r="K81" i="2"/>
  <c r="K89" i="2"/>
  <c r="K97" i="2"/>
  <c r="K105" i="2"/>
  <c r="K113" i="2"/>
  <c r="K121" i="2"/>
  <c r="K129" i="2"/>
  <c r="K137" i="2"/>
  <c r="K145" i="2"/>
  <c r="K153" i="2"/>
  <c r="K161" i="2"/>
  <c r="K169" i="2"/>
  <c r="K177" i="2"/>
  <c r="K185" i="2"/>
  <c r="K193" i="2"/>
  <c r="K201" i="2"/>
  <c r="K209" i="2"/>
  <c r="K217" i="2"/>
  <c r="K225" i="2"/>
  <c r="K233" i="2"/>
  <c r="K241" i="2"/>
  <c r="K10" i="2"/>
  <c r="K18" i="2"/>
  <c r="K26" i="2"/>
  <c r="K34" i="2"/>
  <c r="K42" i="2"/>
  <c r="K50" i="2"/>
  <c r="K58" i="2"/>
  <c r="K66" i="2"/>
  <c r="K74" i="2"/>
  <c r="K82" i="2"/>
  <c r="K90" i="2"/>
  <c r="K98" i="2"/>
  <c r="K106" i="2"/>
  <c r="K114" i="2"/>
  <c r="K122" i="2"/>
  <c r="K130" i="2"/>
  <c r="K138" i="2"/>
  <c r="K146" i="2"/>
  <c r="K154" i="2"/>
  <c r="K162" i="2"/>
  <c r="K170" i="2"/>
  <c r="K178" i="2"/>
  <c r="K186" i="2"/>
  <c r="K194" i="2"/>
  <c r="K202" i="2"/>
  <c r="K210" i="2"/>
  <c r="K218" i="2"/>
  <c r="K226" i="2"/>
  <c r="K234" i="2"/>
  <c r="K242" i="2"/>
  <c r="K5" i="2"/>
  <c r="K13" i="2"/>
  <c r="K21" i="2"/>
  <c r="K29" i="2"/>
  <c r="K37" i="2"/>
  <c r="K45" i="2"/>
  <c r="K53" i="2"/>
  <c r="K61" i="2"/>
  <c r="K69" i="2"/>
  <c r="K77" i="2"/>
  <c r="K85" i="2"/>
  <c r="K93" i="2"/>
  <c r="K101" i="2"/>
  <c r="K109" i="2"/>
  <c r="K117" i="2"/>
  <c r="K125" i="2"/>
  <c r="K133" i="2"/>
  <c r="K141" i="2"/>
  <c r="K149" i="2"/>
  <c r="K157" i="2"/>
  <c r="K165" i="2"/>
  <c r="K173" i="2"/>
  <c r="K181" i="2"/>
  <c r="K189" i="2"/>
  <c r="K197" i="2"/>
  <c r="K205" i="2"/>
  <c r="K213" i="2"/>
  <c r="K221" i="2"/>
  <c r="K229" i="2"/>
  <c r="K237" i="2"/>
  <c r="K11" i="2"/>
  <c r="K30" i="2"/>
  <c r="K52" i="2"/>
  <c r="K75" i="2"/>
  <c r="K94" i="2"/>
  <c r="K116" i="2"/>
  <c r="K139" i="2"/>
  <c r="K158" i="2"/>
  <c r="K180" i="2"/>
  <c r="K203" i="2"/>
  <c r="K222" i="2"/>
  <c r="K244" i="2"/>
  <c r="K12" i="2"/>
  <c r="K35" i="2"/>
  <c r="K54" i="2"/>
  <c r="K76" i="2"/>
  <c r="K99" i="2"/>
  <c r="K118" i="2"/>
  <c r="K140" i="2"/>
  <c r="K163" i="2"/>
  <c r="K182" i="2"/>
  <c r="K204" i="2"/>
  <c r="K227" i="2"/>
  <c r="K14" i="2"/>
  <c r="K36" i="2"/>
  <c r="K59" i="2"/>
  <c r="K78" i="2"/>
  <c r="K100" i="2"/>
  <c r="K123" i="2"/>
  <c r="K142" i="2"/>
  <c r="K164" i="2"/>
  <c r="K187" i="2"/>
  <c r="K206" i="2"/>
  <c r="K228" i="2"/>
  <c r="K19" i="2"/>
  <c r="K38" i="2"/>
  <c r="K60" i="2"/>
  <c r="K83" i="2"/>
  <c r="K102" i="2"/>
  <c r="K124" i="2"/>
  <c r="K147" i="2"/>
  <c r="K166" i="2"/>
  <c r="K188" i="2"/>
  <c r="K211" i="2"/>
  <c r="K230" i="2"/>
  <c r="K20" i="2"/>
  <c r="K43" i="2"/>
  <c r="K62" i="2"/>
  <c r="K84" i="2"/>
  <c r="K107" i="2"/>
  <c r="K126" i="2"/>
  <c r="K148" i="2"/>
  <c r="K171" i="2"/>
  <c r="K190" i="2"/>
  <c r="K212" i="2"/>
  <c r="K235" i="2"/>
  <c r="K4" i="2"/>
  <c r="K27" i="2"/>
  <c r="K46" i="2"/>
  <c r="K68" i="2"/>
  <c r="K91" i="2"/>
  <c r="K110" i="2"/>
  <c r="K132" i="2"/>
  <c r="K155" i="2"/>
  <c r="K174" i="2"/>
  <c r="K196" i="2"/>
  <c r="K219" i="2"/>
  <c r="K238" i="2"/>
  <c r="K6" i="2"/>
  <c r="K28" i="2"/>
  <c r="K51" i="2"/>
  <c r="K70" i="2"/>
  <c r="K92" i="2"/>
  <c r="K115" i="2"/>
  <c r="K134" i="2"/>
  <c r="K156" i="2"/>
  <c r="K179" i="2"/>
  <c r="K198" i="2"/>
  <c r="K220" i="2"/>
  <c r="K243" i="2"/>
  <c r="K86" i="2"/>
  <c r="K22" i="2"/>
  <c r="K44" i="2"/>
  <c r="K67" i="2"/>
  <c r="K108" i="2"/>
  <c r="K172" i="2"/>
  <c r="K195" i="2"/>
  <c r="K214" i="2"/>
  <c r="K131" i="2"/>
  <c r="K150" i="2"/>
  <c r="K3" i="2"/>
  <c r="K236" i="2"/>
  <c r="L6" i="2"/>
  <c r="L14" i="2"/>
  <c r="L22" i="2"/>
  <c r="L30" i="2"/>
  <c r="L38" i="2"/>
  <c r="L46" i="2"/>
  <c r="L54" i="2"/>
  <c r="L62" i="2"/>
  <c r="L70" i="2"/>
  <c r="L78" i="2"/>
  <c r="L86" i="2"/>
  <c r="L94" i="2"/>
  <c r="L102" i="2"/>
  <c r="L110" i="2"/>
  <c r="L118" i="2"/>
  <c r="L126" i="2"/>
  <c r="L134" i="2"/>
  <c r="L142" i="2"/>
  <c r="L150" i="2"/>
  <c r="L158" i="2"/>
  <c r="L166" i="2"/>
  <c r="L174" i="2"/>
  <c r="L182" i="2"/>
  <c r="L7" i="2"/>
  <c r="L15" i="2"/>
  <c r="L23" i="2"/>
  <c r="L31" i="2"/>
  <c r="L39" i="2"/>
  <c r="L47" i="2"/>
  <c r="L55" i="2"/>
  <c r="L63" i="2"/>
  <c r="L71" i="2"/>
  <c r="L79" i="2"/>
  <c r="L87" i="2"/>
  <c r="L95" i="2"/>
  <c r="L103" i="2"/>
  <c r="L111" i="2"/>
  <c r="L119" i="2"/>
  <c r="L127" i="2"/>
  <c r="L135" i="2"/>
  <c r="L143" i="2"/>
  <c r="L151" i="2"/>
  <c r="L159" i="2"/>
  <c r="L167" i="2"/>
  <c r="L175" i="2"/>
  <c r="L183" i="2"/>
  <c r="L191" i="2"/>
  <c r="L8" i="2"/>
  <c r="L16" i="2"/>
  <c r="L24" i="2"/>
  <c r="L32" i="2"/>
  <c r="L40" i="2"/>
  <c r="L48" i="2"/>
  <c r="L56" i="2"/>
  <c r="L3" i="2"/>
  <c r="L11" i="2"/>
  <c r="L19" i="2"/>
  <c r="L27" i="2"/>
  <c r="L35" i="2"/>
  <c r="L43" i="2"/>
  <c r="L51" i="2"/>
  <c r="L59" i="2"/>
  <c r="L67" i="2"/>
  <c r="L75" i="2"/>
  <c r="L83" i="2"/>
  <c r="L91" i="2"/>
  <c r="L99" i="2"/>
  <c r="L107" i="2"/>
  <c r="L115" i="2"/>
  <c r="L123" i="2"/>
  <c r="L131" i="2"/>
  <c r="L139" i="2"/>
  <c r="L147" i="2"/>
  <c r="L155" i="2"/>
  <c r="L163" i="2"/>
  <c r="L171" i="2"/>
  <c r="L179" i="2"/>
  <c r="L187" i="2"/>
  <c r="L195" i="2"/>
  <c r="L4" i="2"/>
  <c r="L20" i="2"/>
  <c r="L36" i="2"/>
  <c r="L52" i="2"/>
  <c r="L66" i="2"/>
  <c r="L80" i="2"/>
  <c r="L92" i="2"/>
  <c r="L105" i="2"/>
  <c r="L117" i="2"/>
  <c r="L130" i="2"/>
  <c r="L144" i="2"/>
  <c r="L156" i="2"/>
  <c r="L169" i="2"/>
  <c r="L181" i="2"/>
  <c r="L193" i="2"/>
  <c r="L202" i="2"/>
  <c r="L210" i="2"/>
  <c r="L218" i="2"/>
  <c r="L226" i="2"/>
  <c r="L234" i="2"/>
  <c r="L242" i="2"/>
  <c r="L5" i="2"/>
  <c r="L21" i="2"/>
  <c r="L37" i="2"/>
  <c r="L53" i="2"/>
  <c r="L68" i="2"/>
  <c r="L81" i="2"/>
  <c r="L93" i="2"/>
  <c r="L106" i="2"/>
  <c r="L120" i="2"/>
  <c r="L132" i="2"/>
  <c r="L145" i="2"/>
  <c r="L157" i="2"/>
  <c r="L170" i="2"/>
  <c r="L184" i="2"/>
  <c r="L194" i="2"/>
  <c r="L203" i="2"/>
  <c r="L211" i="2"/>
  <c r="L219" i="2"/>
  <c r="L227" i="2"/>
  <c r="L235" i="2"/>
  <c r="L243" i="2"/>
  <c r="L9" i="2"/>
  <c r="L25" i="2"/>
  <c r="L41" i="2"/>
  <c r="L57" i="2"/>
  <c r="L69" i="2"/>
  <c r="L82" i="2"/>
  <c r="L96" i="2"/>
  <c r="L108" i="2"/>
  <c r="L121" i="2"/>
  <c r="L133" i="2"/>
  <c r="L146" i="2"/>
  <c r="L160" i="2"/>
  <c r="L172" i="2"/>
  <c r="L185" i="2"/>
  <c r="L196" i="2"/>
  <c r="L204" i="2"/>
  <c r="L212" i="2"/>
  <c r="L220" i="2"/>
  <c r="L228" i="2"/>
  <c r="L236" i="2"/>
  <c r="L244" i="2"/>
  <c r="L10" i="2"/>
  <c r="L26" i="2"/>
  <c r="L42" i="2"/>
  <c r="L58" i="2"/>
  <c r="L72" i="2"/>
  <c r="L84" i="2"/>
  <c r="L97" i="2"/>
  <c r="L109" i="2"/>
  <c r="L122" i="2"/>
  <c r="L136" i="2"/>
  <c r="L148" i="2"/>
  <c r="L161" i="2"/>
  <c r="L173" i="2"/>
  <c r="L186" i="2"/>
  <c r="L197" i="2"/>
  <c r="L205" i="2"/>
  <c r="L213" i="2"/>
  <c r="L221" i="2"/>
  <c r="L229" i="2"/>
  <c r="L237" i="2"/>
  <c r="L17" i="2"/>
  <c r="L33" i="2"/>
  <c r="L49" i="2"/>
  <c r="L64" i="2"/>
  <c r="L76" i="2"/>
  <c r="L89" i="2"/>
  <c r="L101" i="2"/>
  <c r="L114" i="2"/>
  <c r="L128" i="2"/>
  <c r="L140" i="2"/>
  <c r="L153" i="2"/>
  <c r="L165" i="2"/>
  <c r="L178" i="2"/>
  <c r="L190" i="2"/>
  <c r="L200" i="2"/>
  <c r="L208" i="2"/>
  <c r="L216" i="2"/>
  <c r="L224" i="2"/>
  <c r="L232" i="2"/>
  <c r="L240" i="2"/>
  <c r="L45" i="2"/>
  <c r="L85" i="2"/>
  <c r="L116" i="2"/>
  <c r="L152" i="2"/>
  <c r="L188" i="2"/>
  <c r="L209" i="2"/>
  <c r="L231" i="2"/>
  <c r="L12" i="2"/>
  <c r="L50" i="2"/>
  <c r="L88" i="2"/>
  <c r="L124" i="2"/>
  <c r="L154" i="2"/>
  <c r="L189" i="2"/>
  <c r="L214" i="2"/>
  <c r="L233" i="2"/>
  <c r="L13" i="2"/>
  <c r="L60" i="2"/>
  <c r="L90" i="2"/>
  <c r="L125" i="2"/>
  <c r="L162" i="2"/>
  <c r="L192" i="2"/>
  <c r="L215" i="2"/>
  <c r="L238" i="2"/>
  <c r="L18" i="2"/>
  <c r="L61" i="2"/>
  <c r="L98" i="2"/>
  <c r="L129" i="2"/>
  <c r="L164" i="2"/>
  <c r="L198" i="2"/>
  <c r="L217" i="2"/>
  <c r="L239" i="2"/>
  <c r="L28" i="2"/>
  <c r="L65" i="2"/>
  <c r="L100" i="2"/>
  <c r="L137" i="2"/>
  <c r="L168" i="2"/>
  <c r="L199" i="2"/>
  <c r="L222" i="2"/>
  <c r="L241" i="2"/>
  <c r="L34" i="2"/>
  <c r="L74" i="2"/>
  <c r="L112" i="2"/>
  <c r="L141" i="2"/>
  <c r="L177" i="2"/>
  <c r="L206" i="2"/>
  <c r="L225" i="2"/>
  <c r="L44" i="2"/>
  <c r="L77" i="2"/>
  <c r="L113" i="2"/>
  <c r="L149" i="2"/>
  <c r="L180" i="2"/>
  <c r="L207" i="2"/>
  <c r="L230" i="2"/>
  <c r="L138" i="2"/>
  <c r="L201" i="2"/>
  <c r="L104" i="2"/>
  <c r="L176" i="2"/>
  <c r="L223" i="2"/>
  <c r="L73" i="2"/>
  <c r="L29" i="2"/>
  <c r="D2" i="2"/>
  <c r="L2" i="2" s="1"/>
  <c r="C2" i="2"/>
  <c r="K2" i="2" s="1"/>
  <c r="A2" i="1"/>
  <c r="K2" i="1"/>
  <c r="J2" i="1"/>
  <c r="I2" i="1"/>
  <c r="H2" i="1"/>
  <c r="G2" i="1"/>
  <c r="F2" i="1"/>
  <c r="E2" i="1"/>
  <c r="D2" i="1"/>
  <c r="C2" i="1"/>
  <c r="Q42" i="2" l="1"/>
  <c r="Q19" i="2"/>
  <c r="Q6" i="2"/>
  <c r="P121" i="2"/>
  <c r="P40" i="2"/>
  <c r="Q149" i="2"/>
  <c r="Q100" i="2"/>
  <c r="Q89" i="2"/>
  <c r="Q134" i="2"/>
  <c r="P171" i="2"/>
  <c r="Q74" i="2"/>
  <c r="Q18" i="2"/>
  <c r="Q180" i="2"/>
  <c r="Q10" i="2"/>
  <c r="Q241" i="2"/>
  <c r="Q231" i="2"/>
  <c r="Q49" i="2"/>
  <c r="Q124" i="2"/>
  <c r="Q218" i="2"/>
  <c r="Q70" i="2"/>
  <c r="P60" i="2"/>
  <c r="P74" i="2"/>
  <c r="Q61" i="2"/>
  <c r="Q238" i="2"/>
  <c r="Q222" i="2"/>
  <c r="Q2" i="2"/>
  <c r="Q189" i="2"/>
  <c r="Q133" i="2"/>
  <c r="Q129" i="2"/>
  <c r="Q72" i="2"/>
  <c r="Q194" i="2"/>
  <c r="Q163" i="2"/>
  <c r="Q22" i="2"/>
  <c r="P220" i="2"/>
  <c r="P132" i="2"/>
  <c r="P102" i="2"/>
  <c r="P54" i="2"/>
  <c r="Q162" i="2"/>
  <c r="Q208" i="2"/>
  <c r="Q237" i="2"/>
  <c r="Q212" i="2"/>
  <c r="Q184" i="2"/>
  <c r="Q226" i="2"/>
  <c r="Q24" i="2"/>
  <c r="Q87" i="2"/>
  <c r="Q78" i="2"/>
  <c r="Q136" i="2"/>
  <c r="Q96" i="2"/>
  <c r="Q157" i="2"/>
  <c r="Q75" i="2"/>
  <c r="Q8" i="2"/>
  <c r="P236" i="2"/>
  <c r="P100" i="2"/>
  <c r="P194" i="2"/>
  <c r="P160" i="2"/>
  <c r="Q37" i="2"/>
  <c r="Q195" i="2"/>
  <c r="Q3" i="2"/>
  <c r="Q127" i="2"/>
  <c r="Q118" i="2"/>
  <c r="P219" i="2"/>
  <c r="P52" i="2"/>
  <c r="P233" i="2"/>
  <c r="P199" i="2"/>
  <c r="Q165" i="2"/>
  <c r="Q205" i="2"/>
  <c r="Q172" i="2"/>
  <c r="Q132" i="2"/>
  <c r="Q55" i="2"/>
  <c r="P115" i="2"/>
  <c r="P27" i="2"/>
  <c r="P228" i="2"/>
  <c r="P30" i="2"/>
  <c r="P125" i="2"/>
  <c r="P225" i="2"/>
  <c r="P97" i="2"/>
  <c r="P191" i="2"/>
  <c r="P63" i="2"/>
  <c r="Q236" i="2"/>
  <c r="Q211" i="2"/>
  <c r="Q5" i="2"/>
  <c r="Q111" i="2"/>
  <c r="Q102" i="2"/>
  <c r="P174" i="2"/>
  <c r="P153" i="2"/>
  <c r="Q214" i="2"/>
  <c r="Q186" i="2"/>
  <c r="Q146" i="2"/>
  <c r="Q107" i="2"/>
  <c r="Q40" i="2"/>
  <c r="Q39" i="2"/>
  <c r="Q30" i="2"/>
  <c r="P187" i="2"/>
  <c r="P34" i="2"/>
  <c r="P192" i="2"/>
  <c r="P64" i="2"/>
  <c r="P111" i="2"/>
  <c r="N118" i="2"/>
  <c r="P118" i="2"/>
  <c r="N131" i="2"/>
  <c r="P131" i="2"/>
  <c r="N86" i="2"/>
  <c r="Q86" i="2" s="1"/>
  <c r="P86" i="2"/>
  <c r="N4" i="2"/>
  <c r="Q4" i="2" s="1"/>
  <c r="N84" i="2"/>
  <c r="P84" i="2"/>
  <c r="N147" i="2"/>
  <c r="P147" i="2"/>
  <c r="N206" i="2"/>
  <c r="P206" i="2"/>
  <c r="N36" i="2"/>
  <c r="Q36" i="2" s="1"/>
  <c r="N99" i="2"/>
  <c r="P99" i="2"/>
  <c r="N180" i="2"/>
  <c r="P180" i="2"/>
  <c r="N11" i="2"/>
  <c r="Q11" i="2" s="1"/>
  <c r="P11" i="2"/>
  <c r="N117" i="2"/>
  <c r="P117" i="2" s="1"/>
  <c r="N53" i="2"/>
  <c r="P53" i="2"/>
  <c r="N234" i="2"/>
  <c r="P234" i="2"/>
  <c r="N170" i="2"/>
  <c r="Q170" i="2" s="1"/>
  <c r="P170" i="2"/>
  <c r="N106" i="2"/>
  <c r="P106" i="2" s="1"/>
  <c r="N42" i="2"/>
  <c r="P42" i="2"/>
  <c r="N217" i="2"/>
  <c r="P217" i="2"/>
  <c r="N89" i="2"/>
  <c r="P89" i="2"/>
  <c r="N25" i="2"/>
  <c r="Q25" i="2" s="1"/>
  <c r="N200" i="2"/>
  <c r="P200" i="2"/>
  <c r="N136" i="2"/>
  <c r="P136" i="2"/>
  <c r="N72" i="2"/>
  <c r="P72" i="2"/>
  <c r="N8" i="2"/>
  <c r="P8" i="2" s="1"/>
  <c r="N2" i="2"/>
  <c r="P2" i="2"/>
  <c r="N243" i="2"/>
  <c r="P243" i="2"/>
  <c r="N70" i="2"/>
  <c r="P70" i="2"/>
  <c r="N155" i="2"/>
  <c r="Q155" i="2" s="1"/>
  <c r="N235" i="2"/>
  <c r="Q235" i="2" s="1"/>
  <c r="P235" i="2"/>
  <c r="N62" i="2"/>
  <c r="P62" i="2"/>
  <c r="N124" i="2"/>
  <c r="P124" i="2"/>
  <c r="N14" i="2"/>
  <c r="Q14" i="2" s="1"/>
  <c r="N76" i="2"/>
  <c r="Q76" i="2" s="1"/>
  <c r="P76" i="2"/>
  <c r="N237" i="2"/>
  <c r="P237" i="2"/>
  <c r="N173" i="2"/>
  <c r="Q173" i="2" s="1"/>
  <c r="P173" i="2"/>
  <c r="N45" i="2"/>
  <c r="P45" i="2" s="1"/>
  <c r="N226" i="2"/>
  <c r="P226" i="2"/>
  <c r="N162" i="2"/>
  <c r="P162" i="2"/>
  <c r="N98" i="2"/>
  <c r="P98" i="2"/>
  <c r="N145" i="2"/>
  <c r="P145" i="2" s="1"/>
  <c r="N81" i="2"/>
  <c r="Q81" i="2" s="1"/>
  <c r="P81" i="2"/>
  <c r="N195" i="2"/>
  <c r="P195" i="2"/>
  <c r="W4" i="10"/>
  <c r="K5" i="10"/>
  <c r="T5" i="10"/>
  <c r="U5" i="10" s="1"/>
  <c r="X5" i="10" s="1"/>
  <c r="O4" i="10"/>
  <c r="V4" i="10" s="1"/>
  <c r="Y4" i="10" s="1"/>
  <c r="N5" i="10"/>
  <c r="L5" i="10"/>
  <c r="M5" i="10"/>
  <c r="N150" i="2"/>
  <c r="N22" i="2"/>
  <c r="P22" i="2" s="1"/>
  <c r="N115" i="2"/>
  <c r="Q115" i="2" s="1"/>
  <c r="N196" i="2"/>
  <c r="Q196" i="2" s="1"/>
  <c r="N27" i="2"/>
  <c r="Q27" i="2" s="1"/>
  <c r="N107" i="2"/>
  <c r="N166" i="2"/>
  <c r="N228" i="2"/>
  <c r="N203" i="2"/>
  <c r="Q203" i="2" s="1"/>
  <c r="N30" i="2"/>
  <c r="N189" i="2"/>
  <c r="P189" i="2" s="1"/>
  <c r="N125" i="2"/>
  <c r="Q125" i="2" s="1"/>
  <c r="N61" i="2"/>
  <c r="N242" i="2"/>
  <c r="N178" i="2"/>
  <c r="N114" i="2"/>
  <c r="N50" i="2"/>
  <c r="N225" i="2"/>
  <c r="Q225" i="2" s="1"/>
  <c r="N161" i="2"/>
  <c r="P161" i="2" s="1"/>
  <c r="N97" i="2"/>
  <c r="N33" i="2"/>
  <c r="N208" i="2"/>
  <c r="N144" i="2"/>
  <c r="N80" i="2"/>
  <c r="N16" i="2"/>
  <c r="N191" i="2"/>
  <c r="Q191" i="2" s="1"/>
  <c r="N127" i="2"/>
  <c r="P127" i="2" s="1"/>
  <c r="N63" i="2"/>
  <c r="N17" i="2"/>
  <c r="P17" i="2" s="1"/>
  <c r="N192" i="2"/>
  <c r="N128" i="2"/>
  <c r="N54" i="2"/>
  <c r="N182" i="2"/>
  <c r="N60" i="2"/>
  <c r="Q60" i="2" s="1"/>
  <c r="N67" i="2"/>
  <c r="Q67" i="2" s="1"/>
  <c r="N174" i="2"/>
  <c r="N181" i="2"/>
  <c r="P181" i="2" s="1"/>
  <c r="N153" i="2"/>
  <c r="N183" i="2"/>
  <c r="N158" i="2"/>
  <c r="N109" i="2"/>
  <c r="N34" i="2"/>
  <c r="Q34" i="2" s="1"/>
  <c r="N209" i="2"/>
  <c r="P209" i="2" s="1"/>
  <c r="N239" i="2"/>
  <c r="N175" i="2"/>
  <c r="Q175" i="2" s="1"/>
  <c r="N111" i="2"/>
  <c r="N47" i="2"/>
  <c r="N220" i="2"/>
  <c r="N51" i="2"/>
  <c r="N132" i="2"/>
  <c r="N212" i="2"/>
  <c r="N43" i="2"/>
  <c r="Q43" i="2" s="1"/>
  <c r="N102" i="2"/>
  <c r="N164" i="2"/>
  <c r="N227" i="2"/>
  <c r="N139" i="2"/>
  <c r="N229" i="2"/>
  <c r="N165" i="2"/>
  <c r="N101" i="2"/>
  <c r="N37" i="2"/>
  <c r="P37" i="2" s="1"/>
  <c r="N218" i="2"/>
  <c r="N154" i="2"/>
  <c r="N90" i="2"/>
  <c r="N26" i="2"/>
  <c r="N201" i="2"/>
  <c r="N137" i="2"/>
  <c r="N73" i="2"/>
  <c r="Q73" i="2" s="1"/>
  <c r="N9" i="2"/>
  <c r="Q9" i="2" s="1"/>
  <c r="N184" i="2"/>
  <c r="N120" i="2"/>
  <c r="Q120" i="2" s="1"/>
  <c r="N56" i="2"/>
  <c r="N231" i="2"/>
  <c r="N167" i="2"/>
  <c r="N103" i="2"/>
  <c r="Q103" i="2" s="1"/>
  <c r="N39" i="2"/>
  <c r="N55" i="2"/>
  <c r="N187" i="2"/>
  <c r="N172" i="2"/>
  <c r="N198" i="2"/>
  <c r="N28" i="2"/>
  <c r="N110" i="2"/>
  <c r="N190" i="2"/>
  <c r="Q190" i="2" s="1"/>
  <c r="N20" i="2"/>
  <c r="Q20" i="2" s="1"/>
  <c r="N83" i="2"/>
  <c r="P83" i="2" s="1"/>
  <c r="N142" i="2"/>
  <c r="N204" i="2"/>
  <c r="N35" i="2"/>
  <c r="N116" i="2"/>
  <c r="N221" i="2"/>
  <c r="N157" i="2"/>
  <c r="N93" i="2"/>
  <c r="Q93" i="2" s="1"/>
  <c r="N29" i="2"/>
  <c r="N210" i="2"/>
  <c r="N146" i="2"/>
  <c r="N82" i="2"/>
  <c r="N18" i="2"/>
  <c r="N193" i="2"/>
  <c r="Q193" i="2" s="1"/>
  <c r="N129" i="2"/>
  <c r="N65" i="2"/>
  <c r="Q65" i="2" s="1"/>
  <c r="N240" i="2"/>
  <c r="P240" i="2" s="1"/>
  <c r="N176" i="2"/>
  <c r="N112" i="2"/>
  <c r="Q112" i="2" s="1"/>
  <c r="N48" i="2"/>
  <c r="N223" i="2"/>
  <c r="N159" i="2"/>
  <c r="N95" i="2"/>
  <c r="Q95" i="2" s="1"/>
  <c r="N31" i="2"/>
  <c r="Q31" i="2" s="1"/>
  <c r="N59" i="2"/>
  <c r="Q59" i="2" s="1"/>
  <c r="N119" i="2"/>
  <c r="Q119" i="2" s="1"/>
  <c r="N108" i="2"/>
  <c r="N179" i="2"/>
  <c r="N6" i="2"/>
  <c r="N91" i="2"/>
  <c r="N171" i="2"/>
  <c r="Q171" i="2" s="1"/>
  <c r="N230" i="2"/>
  <c r="N123" i="2"/>
  <c r="P123" i="2" s="1"/>
  <c r="N12" i="2"/>
  <c r="N94" i="2"/>
  <c r="N213" i="2"/>
  <c r="N149" i="2"/>
  <c r="N85" i="2"/>
  <c r="N21" i="2"/>
  <c r="P21" i="2" s="1"/>
  <c r="N202" i="2"/>
  <c r="P202" i="2" s="1"/>
  <c r="N138" i="2"/>
  <c r="N74" i="2"/>
  <c r="N10" i="2"/>
  <c r="N185" i="2"/>
  <c r="N121" i="2"/>
  <c r="N57" i="2"/>
  <c r="N232" i="2"/>
  <c r="Q232" i="2" s="1"/>
  <c r="N168" i="2"/>
  <c r="Q168" i="2" s="1"/>
  <c r="N104" i="2"/>
  <c r="N40" i="2"/>
  <c r="N215" i="2"/>
  <c r="N151" i="2"/>
  <c r="N87" i="2"/>
  <c r="N23" i="2"/>
  <c r="N64" i="2"/>
  <c r="Q64" i="2" s="1"/>
  <c r="N236" i="2"/>
  <c r="N156" i="2"/>
  <c r="N238" i="2"/>
  <c r="N68" i="2"/>
  <c r="N148" i="2"/>
  <c r="N211" i="2"/>
  <c r="N38" i="2"/>
  <c r="N100" i="2"/>
  <c r="N163" i="2"/>
  <c r="P163" i="2" s="1"/>
  <c r="N244" i="2"/>
  <c r="N75" i="2"/>
  <c r="N205" i="2"/>
  <c r="N141" i="2"/>
  <c r="N77" i="2"/>
  <c r="N13" i="2"/>
  <c r="N194" i="2"/>
  <c r="N130" i="2"/>
  <c r="Q130" i="2" s="1"/>
  <c r="N66" i="2"/>
  <c r="N241" i="2"/>
  <c r="N177" i="2"/>
  <c r="N113" i="2"/>
  <c r="N49" i="2"/>
  <c r="N224" i="2"/>
  <c r="N160" i="2"/>
  <c r="Q160" i="2" s="1"/>
  <c r="N96" i="2"/>
  <c r="P96" i="2" s="1"/>
  <c r="N32" i="2"/>
  <c r="N207" i="2"/>
  <c r="N143" i="2"/>
  <c r="N79" i="2"/>
  <c r="N15" i="2"/>
  <c r="N92" i="2"/>
  <c r="N214" i="2"/>
  <c r="P214" i="2" s="1"/>
  <c r="N3" i="2"/>
  <c r="P3" i="2" s="1"/>
  <c r="N44" i="2"/>
  <c r="N134" i="2"/>
  <c r="P134" i="2" s="1"/>
  <c r="N219" i="2"/>
  <c r="Q219" i="2" s="1"/>
  <c r="N46" i="2"/>
  <c r="N126" i="2"/>
  <c r="N188" i="2"/>
  <c r="N19" i="2"/>
  <c r="P19" i="2" s="1"/>
  <c r="N78" i="2"/>
  <c r="P78" i="2" s="1"/>
  <c r="N140" i="2"/>
  <c r="N222" i="2"/>
  <c r="P222" i="2" s="1"/>
  <c r="N52" i="2"/>
  <c r="Q52" i="2" s="1"/>
  <c r="N197" i="2"/>
  <c r="N133" i="2"/>
  <c r="N69" i="2"/>
  <c r="N5" i="2"/>
  <c r="P5" i="2" s="1"/>
  <c r="N186" i="2"/>
  <c r="P186" i="2" s="1"/>
  <c r="N122" i="2"/>
  <c r="N58" i="2"/>
  <c r="P58" i="2" s="1"/>
  <c r="N233" i="2"/>
  <c r="N169" i="2"/>
  <c r="N105" i="2"/>
  <c r="N41" i="2"/>
  <c r="N216" i="2"/>
  <c r="Q216" i="2" s="1"/>
  <c r="N152" i="2"/>
  <c r="Q152" i="2" s="1"/>
  <c r="N88" i="2"/>
  <c r="N24" i="2"/>
  <c r="P24" i="2" s="1"/>
  <c r="N199" i="2"/>
  <c r="N135" i="2"/>
  <c r="N71" i="2"/>
  <c r="N7" i="2"/>
  <c r="O188" i="2" l="1"/>
  <c r="S189" i="2" s="1" a="1"/>
  <c r="S189" i="2" s="1"/>
  <c r="R188" i="2"/>
  <c r="P188" i="2"/>
  <c r="Q188" i="2"/>
  <c r="O38" i="2"/>
  <c r="R38" i="2"/>
  <c r="Q38" i="2"/>
  <c r="P38" i="2"/>
  <c r="O159" i="2"/>
  <c r="S160" i="2" s="1" a="1"/>
  <c r="S160" i="2" s="1"/>
  <c r="R159" i="2"/>
  <c r="Q159" i="2"/>
  <c r="P159" i="2"/>
  <c r="O167" i="2"/>
  <c r="R167" i="2"/>
  <c r="Q167" i="2"/>
  <c r="P167" i="2"/>
  <c r="O16" i="2"/>
  <c r="S17" i="2" s="1" a="1"/>
  <c r="S17" i="2" s="1"/>
  <c r="R16" i="2"/>
  <c r="Q16" i="2"/>
  <c r="P16" i="2"/>
  <c r="O69" i="2"/>
  <c r="R69" i="2"/>
  <c r="P69" i="2"/>
  <c r="Q69" i="2"/>
  <c r="O23" i="2"/>
  <c r="S24" i="2" s="1" a="1"/>
  <c r="S24" i="2" s="1"/>
  <c r="R23" i="2"/>
  <c r="Q23" i="2"/>
  <c r="P23" i="2"/>
  <c r="O229" i="2"/>
  <c r="R229" i="2"/>
  <c r="Q229" i="2"/>
  <c r="P229" i="2"/>
  <c r="O7" i="2"/>
  <c r="S8" i="2" s="1" a="1"/>
  <c r="S8" i="2" s="1"/>
  <c r="R7" i="2"/>
  <c r="P7" i="2"/>
  <c r="Q7" i="2"/>
  <c r="O13" i="2"/>
  <c r="R13" i="2"/>
  <c r="P13" i="2"/>
  <c r="Q13" i="2"/>
  <c r="O91" i="2"/>
  <c r="S92" i="2" s="1" a="1"/>
  <c r="S92" i="2" s="1"/>
  <c r="R91" i="2"/>
  <c r="P91" i="2"/>
  <c r="Q91" i="2"/>
  <c r="O221" i="2"/>
  <c r="R221" i="2"/>
  <c r="Q221" i="2"/>
  <c r="P221" i="2"/>
  <c r="O182" i="2"/>
  <c r="S183" i="2" s="1" a="1"/>
  <c r="S183" i="2" s="1"/>
  <c r="R182" i="2"/>
  <c r="P182" i="2"/>
  <c r="Q182" i="2"/>
  <c r="O150" i="2"/>
  <c r="R150" i="2"/>
  <c r="P150" i="2"/>
  <c r="Q150" i="2"/>
  <c r="O197" i="2"/>
  <c r="S198" i="2" s="1" a="1"/>
  <c r="S198" i="2" s="1"/>
  <c r="R197" i="2"/>
  <c r="P197" i="2"/>
  <c r="Q197" i="2"/>
  <c r="O141" i="2"/>
  <c r="R141" i="2"/>
  <c r="P141" i="2"/>
  <c r="Q141" i="2"/>
  <c r="O179" i="2"/>
  <c r="S180" i="2" s="1" a="1"/>
  <c r="S180" i="2" s="1"/>
  <c r="R179" i="2"/>
  <c r="Q179" i="2"/>
  <c r="P179" i="2"/>
  <c r="O35" i="2"/>
  <c r="R35" i="2"/>
  <c r="Q35" i="2"/>
  <c r="P35" i="2"/>
  <c r="O90" i="2"/>
  <c r="S91" i="2" s="1" a="1"/>
  <c r="S91" i="2" s="1"/>
  <c r="R90" i="2"/>
  <c r="Q90" i="2"/>
  <c r="P90" i="2"/>
  <c r="O183" i="2"/>
  <c r="R183" i="2"/>
  <c r="P183" i="2"/>
  <c r="Q183" i="2"/>
  <c r="O128" i="2"/>
  <c r="S129" i="2" s="1" a="1"/>
  <c r="S129" i="2" s="1"/>
  <c r="R128" i="2"/>
  <c r="Q128" i="2"/>
  <c r="P128" i="2"/>
  <c r="O178" i="2"/>
  <c r="R178" i="2"/>
  <c r="P178" i="2"/>
  <c r="Q178" i="2"/>
  <c r="O166" i="2"/>
  <c r="S167" i="2" s="1" a="1"/>
  <c r="S167" i="2" s="1"/>
  <c r="R166" i="2"/>
  <c r="P166" i="2"/>
  <c r="Q166" i="2"/>
  <c r="O41" i="2"/>
  <c r="R41" i="2"/>
  <c r="P41" i="2"/>
  <c r="Q41" i="2"/>
  <c r="O224" i="2"/>
  <c r="S225" i="2" s="1" a="1"/>
  <c r="S225" i="2" s="1"/>
  <c r="R224" i="2"/>
  <c r="P224" i="2"/>
  <c r="O57" i="2"/>
  <c r="R57" i="2"/>
  <c r="P57" i="2"/>
  <c r="Q57" i="2"/>
  <c r="O193" i="2"/>
  <c r="S194" i="2" s="1" a="1"/>
  <c r="S194" i="2" s="1"/>
  <c r="R193" i="2"/>
  <c r="P193" i="2"/>
  <c r="O201" i="2"/>
  <c r="S202" i="2" s="1" a="1"/>
  <c r="S202" i="2" s="1"/>
  <c r="R201" i="2"/>
  <c r="Q201" i="2"/>
  <c r="P201" i="2"/>
  <c r="O51" i="2"/>
  <c r="R51" i="2"/>
  <c r="Q51" i="2"/>
  <c r="P51" i="2"/>
  <c r="O50" i="2"/>
  <c r="S51" i="2" s="1" a="1"/>
  <c r="S51" i="2" s="1"/>
  <c r="R50" i="2"/>
  <c r="Q50" i="2"/>
  <c r="P50" i="2"/>
  <c r="O135" i="2"/>
  <c r="R135" i="2"/>
  <c r="Q135" i="2"/>
  <c r="P135" i="2"/>
  <c r="O46" i="2"/>
  <c r="S47" i="2" s="1" a="1"/>
  <c r="S47" i="2" s="1"/>
  <c r="R46" i="2"/>
  <c r="P46" i="2"/>
  <c r="Q46" i="2"/>
  <c r="O113" i="2"/>
  <c r="R113" i="2"/>
  <c r="P113" i="2"/>
  <c r="Q113" i="2"/>
  <c r="O151" i="2"/>
  <c r="S152" i="2" s="1" a="1"/>
  <c r="S152" i="2" s="1"/>
  <c r="R151" i="2"/>
  <c r="P151" i="2"/>
  <c r="Q151" i="2"/>
  <c r="O213" i="2"/>
  <c r="R213" i="2"/>
  <c r="Q213" i="2"/>
  <c r="P213" i="2"/>
  <c r="O82" i="2"/>
  <c r="S83" i="2" s="1" a="1"/>
  <c r="S83" i="2" s="1"/>
  <c r="R82" i="2"/>
  <c r="Q82" i="2"/>
  <c r="P82" i="2"/>
  <c r="O56" i="2"/>
  <c r="R56" i="2"/>
  <c r="P56" i="2"/>
  <c r="Q56" i="2"/>
  <c r="O227" i="2"/>
  <c r="S228" i="2" s="1" a="1"/>
  <c r="S228" i="2" s="1"/>
  <c r="R227" i="2"/>
  <c r="P227" i="2"/>
  <c r="Q227" i="2"/>
  <c r="O144" i="2"/>
  <c r="R144" i="2"/>
  <c r="Q144" i="2"/>
  <c r="P144" i="2"/>
  <c r="O92" i="2"/>
  <c r="S93" i="2" s="1" a="1"/>
  <c r="S93" i="2" s="1"/>
  <c r="R92" i="2"/>
  <c r="Q92" i="2"/>
  <c r="P92" i="2"/>
  <c r="O85" i="2"/>
  <c r="R85" i="2"/>
  <c r="P85" i="2"/>
  <c r="Q85" i="2"/>
  <c r="O110" i="2"/>
  <c r="S111" i="2" s="1" a="1"/>
  <c r="S111" i="2" s="1"/>
  <c r="R110" i="2"/>
  <c r="Q110" i="2"/>
  <c r="P110" i="2"/>
  <c r="O109" i="2"/>
  <c r="R109" i="2"/>
  <c r="Q109" i="2"/>
  <c r="P109" i="2"/>
  <c r="O203" i="2"/>
  <c r="S204" i="2" s="1" a="1"/>
  <c r="S204" i="2" s="1"/>
  <c r="R203" i="2"/>
  <c r="P203" i="2"/>
  <c r="O169" i="2"/>
  <c r="R169" i="2"/>
  <c r="P169" i="2"/>
  <c r="Q169" i="2"/>
  <c r="O79" i="2"/>
  <c r="R79" i="2"/>
  <c r="P79" i="2"/>
  <c r="Q79" i="2"/>
  <c r="O148" i="2"/>
  <c r="R148" i="2"/>
  <c r="Q148" i="2"/>
  <c r="P148" i="2"/>
  <c r="O185" i="2"/>
  <c r="R185" i="2"/>
  <c r="Q185" i="2"/>
  <c r="P185" i="2"/>
  <c r="O48" i="2"/>
  <c r="R48" i="2"/>
  <c r="P48" i="2"/>
  <c r="O198" i="2"/>
  <c r="S199" i="2" s="1" a="1"/>
  <c r="S199" i="2" s="1"/>
  <c r="R198" i="2"/>
  <c r="Q198" i="2"/>
  <c r="P198" i="2"/>
  <c r="O47" i="2"/>
  <c r="R47" i="2"/>
  <c r="Q47" i="2"/>
  <c r="P47" i="2"/>
  <c r="Q48" i="2"/>
  <c r="O88" i="2"/>
  <c r="R88" i="2"/>
  <c r="Q88" i="2"/>
  <c r="P88" i="2"/>
  <c r="O140" i="2"/>
  <c r="R140" i="2"/>
  <c r="Q140" i="2"/>
  <c r="P140" i="2"/>
  <c r="O32" i="2"/>
  <c r="R32" i="2"/>
  <c r="Q32" i="2"/>
  <c r="P32" i="2"/>
  <c r="O244" i="2"/>
  <c r="R244" i="2"/>
  <c r="Q244" i="2"/>
  <c r="P244" i="2"/>
  <c r="O104" i="2"/>
  <c r="R104" i="2"/>
  <c r="Q104" i="2"/>
  <c r="P104" i="2"/>
  <c r="O122" i="2"/>
  <c r="R122" i="2"/>
  <c r="P122" i="2"/>
  <c r="Q122" i="2"/>
  <c r="O44" i="2"/>
  <c r="R44" i="2"/>
  <c r="Q44" i="2"/>
  <c r="P44" i="2"/>
  <c r="O66" i="2"/>
  <c r="R66" i="2"/>
  <c r="Q66" i="2"/>
  <c r="P66" i="2"/>
  <c r="O156" i="2"/>
  <c r="R156" i="2"/>
  <c r="Q156" i="2"/>
  <c r="P156" i="2"/>
  <c r="O138" i="2"/>
  <c r="R138" i="2"/>
  <c r="Q138" i="2"/>
  <c r="P138" i="2"/>
  <c r="Q224" i="2"/>
  <c r="Q45" i="2"/>
  <c r="O71" i="2"/>
  <c r="R71" i="2"/>
  <c r="O105" i="2"/>
  <c r="R105" i="2"/>
  <c r="O133" i="2"/>
  <c r="S134" i="2" s="1" a="1"/>
  <c r="S134" i="2" s="1"/>
  <c r="R133" i="2"/>
  <c r="O126" i="2"/>
  <c r="R126" i="2"/>
  <c r="O15" i="2"/>
  <c r="R15" i="2"/>
  <c r="O49" i="2"/>
  <c r="R49" i="2"/>
  <c r="O77" i="2"/>
  <c r="S78" i="2" s="1" a="1"/>
  <c r="S78" i="2" s="1"/>
  <c r="R77" i="2"/>
  <c r="O211" i="2"/>
  <c r="R211" i="2"/>
  <c r="O87" i="2"/>
  <c r="R87" i="2"/>
  <c r="O121" i="2"/>
  <c r="R121" i="2"/>
  <c r="O149" i="2"/>
  <c r="S150" i="2" s="1" a="1"/>
  <c r="S150" i="2" s="1"/>
  <c r="R149" i="2"/>
  <c r="O6" i="2"/>
  <c r="R6" i="2"/>
  <c r="O223" i="2"/>
  <c r="R223" i="2"/>
  <c r="O18" i="2"/>
  <c r="R18" i="2"/>
  <c r="O116" i="2"/>
  <c r="S117" i="2" s="1" a="1"/>
  <c r="S117" i="2" s="1"/>
  <c r="R116" i="2"/>
  <c r="O28" i="2"/>
  <c r="R28" i="2"/>
  <c r="O231" i="2"/>
  <c r="R231" i="2"/>
  <c r="O26" i="2"/>
  <c r="R26" i="2"/>
  <c r="O139" i="2"/>
  <c r="S140" i="2" s="1" a="1"/>
  <c r="S140" i="2" s="1"/>
  <c r="R139" i="2"/>
  <c r="O220" i="2"/>
  <c r="R220" i="2"/>
  <c r="O158" i="2"/>
  <c r="R158" i="2"/>
  <c r="O54" i="2"/>
  <c r="R54" i="2"/>
  <c r="O80" i="2"/>
  <c r="S81" i="2" s="1" a="1"/>
  <c r="S81" i="2" s="1"/>
  <c r="R80" i="2"/>
  <c r="O114" i="2"/>
  <c r="R114" i="2"/>
  <c r="O228" i="2"/>
  <c r="R228" i="2"/>
  <c r="O195" i="2"/>
  <c r="S196" i="2" s="1" a="1"/>
  <c r="S196" i="2" s="1"/>
  <c r="R195" i="2"/>
  <c r="O162" i="2"/>
  <c r="S163" i="2" s="1" a="1"/>
  <c r="S163" i="2" s="1"/>
  <c r="R162" i="2"/>
  <c r="O237" i="2"/>
  <c r="R237" i="2"/>
  <c r="O62" i="2"/>
  <c r="R62" i="2"/>
  <c r="O243" i="2"/>
  <c r="R243" i="2"/>
  <c r="O136" i="2"/>
  <c r="S137" i="2" s="1" a="1"/>
  <c r="S137" i="2" s="1"/>
  <c r="R136" i="2"/>
  <c r="O217" i="2"/>
  <c r="R217" i="2"/>
  <c r="O234" i="2"/>
  <c r="R234" i="2"/>
  <c r="O180" i="2"/>
  <c r="S181" i="2" s="1" a="1"/>
  <c r="S181" i="2" s="1"/>
  <c r="R180" i="2"/>
  <c r="O147" i="2"/>
  <c r="S148" i="2" s="1" a="1"/>
  <c r="S148" i="2" s="1"/>
  <c r="R147" i="2"/>
  <c r="O131" i="2"/>
  <c r="R131" i="2"/>
  <c r="Q209" i="2"/>
  <c r="P196" i="2"/>
  <c r="Q21" i="2"/>
  <c r="Q145" i="2"/>
  <c r="P130" i="2"/>
  <c r="P67" i="2"/>
  <c r="P223" i="2"/>
  <c r="P18" i="2"/>
  <c r="P116" i="2"/>
  <c r="P28" i="2"/>
  <c r="Q114" i="2"/>
  <c r="P231" i="2"/>
  <c r="P26" i="2"/>
  <c r="P139" i="2"/>
  <c r="Q17" i="2"/>
  <c r="P6" i="2"/>
  <c r="P149" i="2"/>
  <c r="P168" i="2"/>
  <c r="Q15" i="2"/>
  <c r="O52" i="2"/>
  <c r="R52" i="2"/>
  <c r="O143" i="2"/>
  <c r="R143" i="2"/>
  <c r="O177" i="2"/>
  <c r="R177" i="2"/>
  <c r="O205" i="2"/>
  <c r="R205" i="2"/>
  <c r="O68" i="2"/>
  <c r="R68" i="2"/>
  <c r="O215" i="2"/>
  <c r="R215" i="2"/>
  <c r="O10" i="2"/>
  <c r="S11" i="2" s="1" a="1"/>
  <c r="S11" i="2" s="1"/>
  <c r="R10" i="2"/>
  <c r="O94" i="2"/>
  <c r="R94" i="2"/>
  <c r="O108" i="2"/>
  <c r="R108" i="2"/>
  <c r="O112" i="2"/>
  <c r="R112" i="2"/>
  <c r="O146" i="2"/>
  <c r="R146" i="2"/>
  <c r="O204" i="2"/>
  <c r="R204" i="2"/>
  <c r="O172" i="2"/>
  <c r="R172" i="2"/>
  <c r="O120" i="2"/>
  <c r="S121" i="2" s="1" a="1"/>
  <c r="S121" i="2" s="1"/>
  <c r="R120" i="2"/>
  <c r="O154" i="2"/>
  <c r="S155" i="2" s="1" a="1"/>
  <c r="S155" i="2" s="1"/>
  <c r="R154" i="2"/>
  <c r="O164" i="2"/>
  <c r="R164" i="2"/>
  <c r="O111" i="2"/>
  <c r="R111" i="2"/>
  <c r="O153" i="2"/>
  <c r="R153" i="2"/>
  <c r="O192" i="2"/>
  <c r="R192" i="2"/>
  <c r="O208" i="2"/>
  <c r="R208" i="2"/>
  <c r="O242" i="2"/>
  <c r="R242" i="2"/>
  <c r="O107" i="2"/>
  <c r="R107" i="2"/>
  <c r="O81" i="2"/>
  <c r="S82" i="2" s="1" a="1"/>
  <c r="S82" i="2" s="1"/>
  <c r="R81" i="2"/>
  <c r="O226" i="2"/>
  <c r="S227" i="2" s="1" a="1"/>
  <c r="S227" i="2" s="1"/>
  <c r="R226" i="2"/>
  <c r="O76" i="2"/>
  <c r="R76" i="2"/>
  <c r="O235" i="2"/>
  <c r="S236" i="2" s="1" a="1"/>
  <c r="S236" i="2" s="1"/>
  <c r="R235" i="2"/>
  <c r="O2" i="2"/>
  <c r="S3" i="2" s="1" a="1"/>
  <c r="S3" i="2" s="1"/>
  <c r="T3" i="2" s="1"/>
  <c r="R2" i="2"/>
  <c r="O200" i="2"/>
  <c r="R200" i="2"/>
  <c r="O42" i="2"/>
  <c r="R42" i="2"/>
  <c r="O53" i="2"/>
  <c r="R53" i="2"/>
  <c r="O99" i="2"/>
  <c r="R99" i="2"/>
  <c r="O84" i="2"/>
  <c r="R84" i="2"/>
  <c r="O118" i="2"/>
  <c r="R118" i="2"/>
  <c r="Q94" i="2"/>
  <c r="Q228" i="2"/>
  <c r="Q215" i="2"/>
  <c r="Q240" i="2"/>
  <c r="P152" i="2"/>
  <c r="Q62" i="2"/>
  <c r="Q139" i="2"/>
  <c r="P112" i="2"/>
  <c r="P146" i="2"/>
  <c r="P204" i="2"/>
  <c r="P172" i="2"/>
  <c r="P120" i="2"/>
  <c r="P154" i="2"/>
  <c r="Q164" i="2"/>
  <c r="Q234" i="2"/>
  <c r="Q153" i="2"/>
  <c r="P108" i="2"/>
  <c r="Q28" i="2"/>
  <c r="Q143" i="2"/>
  <c r="Q223" i="2"/>
  <c r="P10" i="2"/>
  <c r="O199" i="2"/>
  <c r="R199" i="2"/>
  <c r="O233" i="2"/>
  <c r="S234" i="2" s="1" a="1"/>
  <c r="S234" i="2" s="1"/>
  <c r="R233" i="2"/>
  <c r="O219" i="2"/>
  <c r="R219" i="2"/>
  <c r="O24" i="2"/>
  <c r="R24" i="2"/>
  <c r="O58" i="2"/>
  <c r="R58" i="2"/>
  <c r="O222" i="2"/>
  <c r="S223" i="2" s="1" a="1"/>
  <c r="S223" i="2" s="1"/>
  <c r="R222" i="2"/>
  <c r="O134" i="2"/>
  <c r="R134" i="2"/>
  <c r="O207" i="2"/>
  <c r="R207" i="2"/>
  <c r="O241" i="2"/>
  <c r="R241" i="2"/>
  <c r="O75" i="2"/>
  <c r="R75" i="2"/>
  <c r="O238" i="2"/>
  <c r="R238" i="2"/>
  <c r="O40" i="2"/>
  <c r="R40" i="2"/>
  <c r="O74" i="2"/>
  <c r="S75" i="2" s="1" a="1"/>
  <c r="S75" i="2" s="1"/>
  <c r="R74" i="2"/>
  <c r="O12" i="2"/>
  <c r="R12" i="2"/>
  <c r="O119" i="2"/>
  <c r="R119" i="2"/>
  <c r="O176" i="2"/>
  <c r="R176" i="2"/>
  <c r="O210" i="2"/>
  <c r="R210" i="2"/>
  <c r="O142" i="2"/>
  <c r="S143" i="2" s="1" a="1"/>
  <c r="S143" i="2" s="1"/>
  <c r="R142" i="2"/>
  <c r="O187" i="2"/>
  <c r="R187" i="2"/>
  <c r="O184" i="2"/>
  <c r="R184" i="2"/>
  <c r="O218" i="2"/>
  <c r="R218" i="2"/>
  <c r="O102" i="2"/>
  <c r="S103" i="2" s="1" a="1"/>
  <c r="S103" i="2" s="1"/>
  <c r="R102" i="2"/>
  <c r="O175" i="2"/>
  <c r="R175" i="2"/>
  <c r="O181" i="2"/>
  <c r="R181" i="2"/>
  <c r="O17" i="2"/>
  <c r="S18" i="2" s="1" a="1"/>
  <c r="S18" i="2" s="1"/>
  <c r="R17" i="2"/>
  <c r="O33" i="2"/>
  <c r="R33" i="2"/>
  <c r="O61" i="2"/>
  <c r="R61" i="2"/>
  <c r="O27" i="2"/>
  <c r="R27" i="2"/>
  <c r="P14" i="2"/>
  <c r="P155" i="2"/>
  <c r="P25" i="2"/>
  <c r="P36" i="2"/>
  <c r="P4" i="2"/>
  <c r="Q158" i="2"/>
  <c r="Q84" i="2"/>
  <c r="Q217" i="2"/>
  <c r="P80" i="2"/>
  <c r="P114" i="2"/>
  <c r="P59" i="2"/>
  <c r="Q12" i="2"/>
  <c r="P216" i="2"/>
  <c r="Q54" i="2"/>
  <c r="Q131" i="2"/>
  <c r="P15" i="2"/>
  <c r="P49" i="2"/>
  <c r="P77" i="2"/>
  <c r="P211" i="2"/>
  <c r="Q126" i="2"/>
  <c r="Q26" i="2"/>
  <c r="P176" i="2"/>
  <c r="P210" i="2"/>
  <c r="P142" i="2"/>
  <c r="Q121" i="2"/>
  <c r="Q154" i="2"/>
  <c r="P184" i="2"/>
  <c r="P218" i="2"/>
  <c r="P164" i="2"/>
  <c r="Q192" i="2"/>
  <c r="P232" i="2"/>
  <c r="Q83" i="2"/>
  <c r="Q147" i="2"/>
  <c r="O123" i="2"/>
  <c r="R123" i="2"/>
  <c r="O29" i="2"/>
  <c r="R29" i="2"/>
  <c r="O43" i="2"/>
  <c r="S44" i="2" s="1" a="1"/>
  <c r="S44" i="2" s="1"/>
  <c r="R43" i="2"/>
  <c r="O174" i="2"/>
  <c r="R174" i="2"/>
  <c r="O97" i="2"/>
  <c r="R97" i="2"/>
  <c r="O145" i="2"/>
  <c r="S146" i="2" s="1" a="1"/>
  <c r="S146" i="2" s="1"/>
  <c r="R145" i="2"/>
  <c r="O117" i="2"/>
  <c r="S118" i="2" s="1" a="1"/>
  <c r="S118" i="2" s="1"/>
  <c r="R117" i="2"/>
  <c r="Q117" i="2"/>
  <c r="P29" i="2"/>
  <c r="Q177" i="2"/>
  <c r="Q199" i="2"/>
  <c r="Q77" i="2"/>
  <c r="Q68" i="2"/>
  <c r="P87" i="2"/>
  <c r="P94" i="2"/>
  <c r="O59" i="2"/>
  <c r="R59" i="2"/>
  <c r="O83" i="2"/>
  <c r="R83" i="2"/>
  <c r="O37" i="2"/>
  <c r="S38" i="2" s="1" a="1"/>
  <c r="S38" i="2" s="1"/>
  <c r="R37" i="2"/>
  <c r="O14" i="2"/>
  <c r="S15" i="2" s="1" a="1"/>
  <c r="S15" i="2" s="1"/>
  <c r="R14" i="2"/>
  <c r="O8" i="2"/>
  <c r="R8" i="2"/>
  <c r="O106" i="2"/>
  <c r="R106" i="2"/>
  <c r="O4" i="2"/>
  <c r="S5" i="2" s="1" a="1"/>
  <c r="S5" i="2" s="1"/>
  <c r="R4" i="2"/>
  <c r="Q123" i="2"/>
  <c r="O152" i="2"/>
  <c r="R152" i="2"/>
  <c r="O78" i="2"/>
  <c r="S79" i="2" s="1" a="1"/>
  <c r="S79" i="2" s="1"/>
  <c r="R78" i="2"/>
  <c r="O96" i="2"/>
  <c r="S97" i="2" s="1" a="1"/>
  <c r="S97" i="2" s="1"/>
  <c r="R96" i="2"/>
  <c r="O130" i="2"/>
  <c r="R130" i="2"/>
  <c r="O236" i="2"/>
  <c r="R236" i="2"/>
  <c r="O168" i="2"/>
  <c r="S169" i="2" s="1" a="1"/>
  <c r="S169" i="2" s="1"/>
  <c r="R168" i="2"/>
  <c r="O202" i="2"/>
  <c r="S203" i="2" s="1" a="1"/>
  <c r="S203" i="2" s="1"/>
  <c r="R202" i="2"/>
  <c r="O230" i="2"/>
  <c r="R230" i="2"/>
  <c r="O31" i="2"/>
  <c r="R31" i="2"/>
  <c r="O65" i="2"/>
  <c r="R65" i="2"/>
  <c r="O93" i="2"/>
  <c r="S94" i="2" s="1" a="1"/>
  <c r="S94" i="2" s="1"/>
  <c r="R93" i="2"/>
  <c r="O20" i="2"/>
  <c r="R20" i="2"/>
  <c r="O39" i="2"/>
  <c r="R39" i="2"/>
  <c r="O73" i="2"/>
  <c r="S74" i="2" s="1" a="1"/>
  <c r="S74" i="2" s="1"/>
  <c r="R73" i="2"/>
  <c r="O101" i="2"/>
  <c r="S102" i="2" s="1" a="1"/>
  <c r="S102" i="2" s="1"/>
  <c r="R101" i="2"/>
  <c r="O212" i="2"/>
  <c r="R212" i="2"/>
  <c r="O209" i="2"/>
  <c r="R209" i="2"/>
  <c r="O67" i="2"/>
  <c r="S68" i="2" s="1" a="1"/>
  <c r="S68" i="2" s="1"/>
  <c r="R67" i="2"/>
  <c r="O127" i="2"/>
  <c r="S128" i="2" s="1" a="1"/>
  <c r="S128" i="2" s="1"/>
  <c r="R127" i="2"/>
  <c r="O161" i="2"/>
  <c r="R161" i="2"/>
  <c r="O189" i="2"/>
  <c r="R189" i="2"/>
  <c r="O115" i="2"/>
  <c r="S116" i="2" s="1" a="1"/>
  <c r="S116" i="2" s="1"/>
  <c r="R115" i="2"/>
  <c r="W5" i="10"/>
  <c r="P175" i="2"/>
  <c r="Q242" i="2"/>
  <c r="Q33" i="2"/>
  <c r="P119" i="2"/>
  <c r="Q80" i="2"/>
  <c r="Q97" i="2"/>
  <c r="P208" i="2"/>
  <c r="P242" i="2"/>
  <c r="Q187" i="2"/>
  <c r="P71" i="2"/>
  <c r="P105" i="2"/>
  <c r="P133" i="2"/>
  <c r="P126" i="2"/>
  <c r="Q105" i="2"/>
  <c r="P143" i="2"/>
  <c r="P177" i="2"/>
  <c r="P205" i="2"/>
  <c r="P68" i="2"/>
  <c r="Q71" i="2"/>
  <c r="Q210" i="2"/>
  <c r="P31" i="2"/>
  <c r="P65" i="2"/>
  <c r="P93" i="2"/>
  <c r="P20" i="2"/>
  <c r="Q142" i="2"/>
  <c r="Q58" i="2"/>
  <c r="P39" i="2"/>
  <c r="P73" i="2"/>
  <c r="P101" i="2"/>
  <c r="P43" i="2"/>
  <c r="Q207" i="2"/>
  <c r="Q230" i="2"/>
  <c r="Q243" i="2"/>
  <c r="Q233" i="2"/>
  <c r="Q176" i="2"/>
  <c r="Q204" i="2"/>
  <c r="Q108" i="2"/>
  <c r="P230" i="2"/>
  <c r="Q200" i="2"/>
  <c r="O240" i="2"/>
  <c r="S241" i="2" s="1" a="1"/>
  <c r="S241" i="2" s="1"/>
  <c r="R240" i="2"/>
  <c r="O55" i="2"/>
  <c r="R55" i="2"/>
  <c r="O9" i="2"/>
  <c r="R9" i="2"/>
  <c r="O239" i="2"/>
  <c r="R239" i="2"/>
  <c r="O63" i="2"/>
  <c r="S64" i="2" s="1" a="1"/>
  <c r="S64" i="2" s="1"/>
  <c r="R63" i="2"/>
  <c r="O125" i="2"/>
  <c r="R125" i="2"/>
  <c r="O196" i="2"/>
  <c r="R196" i="2"/>
  <c r="O45" i="2"/>
  <c r="S46" i="2" s="1" a="1"/>
  <c r="S46" i="2" s="1"/>
  <c r="R45" i="2"/>
  <c r="O155" i="2"/>
  <c r="S156" i="2" s="1" a="1"/>
  <c r="S156" i="2" s="1"/>
  <c r="R155" i="2"/>
  <c r="O25" i="2"/>
  <c r="R25" i="2"/>
  <c r="O36" i="2"/>
  <c r="R36" i="2"/>
  <c r="P55" i="2"/>
  <c r="P9" i="2"/>
  <c r="O186" i="2"/>
  <c r="S187" i="2" s="1" a="1"/>
  <c r="S187" i="2" s="1"/>
  <c r="R186" i="2"/>
  <c r="O3" i="2"/>
  <c r="R3" i="2"/>
  <c r="O163" i="2"/>
  <c r="S164" i="2" s="1" a="1"/>
  <c r="S164" i="2" s="1"/>
  <c r="R163" i="2"/>
  <c r="O216" i="2"/>
  <c r="S217" i="2" s="1" a="1"/>
  <c r="S217" i="2" s="1"/>
  <c r="R216" i="2"/>
  <c r="O5" i="2"/>
  <c r="S6" i="2" s="1" a="1"/>
  <c r="S6" i="2" s="1"/>
  <c r="R5" i="2"/>
  <c r="O19" i="2"/>
  <c r="R19" i="2"/>
  <c r="O214" i="2"/>
  <c r="S215" i="2" s="1" a="1"/>
  <c r="S215" i="2" s="1"/>
  <c r="R214" i="2"/>
  <c r="O160" i="2"/>
  <c r="S161" i="2" s="1" a="1"/>
  <c r="S161" i="2" s="1"/>
  <c r="R160" i="2"/>
  <c r="O194" i="2"/>
  <c r="S195" i="2" s="1" a="1"/>
  <c r="S195" i="2" s="1"/>
  <c r="R194" i="2"/>
  <c r="O100" i="2"/>
  <c r="R100" i="2"/>
  <c r="O64" i="2"/>
  <c r="S65" i="2" s="1" a="1"/>
  <c r="S65" i="2" s="1"/>
  <c r="R64" i="2"/>
  <c r="O232" i="2"/>
  <c r="S233" i="2" s="1" a="1"/>
  <c r="S233" i="2" s="1"/>
  <c r="R232" i="2"/>
  <c r="O21" i="2"/>
  <c r="S22" i="2" s="1" a="1"/>
  <c r="S22" i="2" s="1"/>
  <c r="R21" i="2"/>
  <c r="O171" i="2"/>
  <c r="R171" i="2"/>
  <c r="O95" i="2"/>
  <c r="R95" i="2"/>
  <c r="O129" i="2"/>
  <c r="R129" i="2"/>
  <c r="O157" i="2"/>
  <c r="S158" i="2" s="1" a="1"/>
  <c r="S158" i="2" s="1"/>
  <c r="R157" i="2"/>
  <c r="O190" i="2"/>
  <c r="R190" i="2"/>
  <c r="O103" i="2"/>
  <c r="R103" i="2"/>
  <c r="O137" i="2"/>
  <c r="R137" i="2"/>
  <c r="O165" i="2"/>
  <c r="S166" i="2" s="1" a="1"/>
  <c r="S166" i="2" s="1"/>
  <c r="R165" i="2"/>
  <c r="O132" i="2"/>
  <c r="R132" i="2"/>
  <c r="O34" i="2"/>
  <c r="S35" i="2" s="1" a="1"/>
  <c r="S35" i="2" s="1"/>
  <c r="R34" i="2"/>
  <c r="O60" i="2"/>
  <c r="S61" i="2" s="1" a="1"/>
  <c r="S61" i="2" s="1"/>
  <c r="R60" i="2"/>
  <c r="O191" i="2"/>
  <c r="S192" i="2" s="1" a="1"/>
  <c r="S192" i="2" s="1"/>
  <c r="R191" i="2"/>
  <c r="O225" i="2"/>
  <c r="R225" i="2"/>
  <c r="O30" i="2"/>
  <c r="S31" i="2" s="1" a="1"/>
  <c r="S31" i="2" s="1"/>
  <c r="R30" i="2"/>
  <c r="O22" i="2"/>
  <c r="S23" i="2" s="1" a="1"/>
  <c r="S23" i="2" s="1"/>
  <c r="R22" i="2"/>
  <c r="O98" i="2"/>
  <c r="S99" i="2" s="1" a="1"/>
  <c r="S99" i="2" s="1"/>
  <c r="R98" i="2"/>
  <c r="O173" i="2"/>
  <c r="R173" i="2"/>
  <c r="O124" i="2"/>
  <c r="S125" i="2" s="1" a="1"/>
  <c r="S125" i="2" s="1"/>
  <c r="R124" i="2"/>
  <c r="O70" i="2"/>
  <c r="S71" i="2" s="1" a="1"/>
  <c r="S71" i="2" s="1"/>
  <c r="R70" i="2"/>
  <c r="O72" i="2"/>
  <c r="S73" i="2" s="1" a="1"/>
  <c r="S73" i="2" s="1"/>
  <c r="R72" i="2"/>
  <c r="O89" i="2"/>
  <c r="R89" i="2"/>
  <c r="O170" i="2"/>
  <c r="S171" i="2" s="1" a="1"/>
  <c r="S171" i="2" s="1"/>
  <c r="R170" i="2"/>
  <c r="O11" i="2"/>
  <c r="S12" i="2" s="1" a="1"/>
  <c r="S12" i="2" s="1"/>
  <c r="R11" i="2"/>
  <c r="O206" i="2"/>
  <c r="S207" i="2" s="1" a="1"/>
  <c r="S207" i="2" s="1"/>
  <c r="R206" i="2"/>
  <c r="O86" i="2"/>
  <c r="R86" i="2"/>
  <c r="P239" i="2"/>
  <c r="P158" i="2"/>
  <c r="Q106" i="2"/>
  <c r="Q181" i="2"/>
  <c r="P33" i="2"/>
  <c r="P61" i="2"/>
  <c r="P107" i="2"/>
  <c r="Q174" i="2"/>
  <c r="Q63" i="2"/>
  <c r="Q202" i="2"/>
  <c r="P207" i="2"/>
  <c r="P241" i="2"/>
  <c r="P75" i="2"/>
  <c r="P238" i="2"/>
  <c r="Q53" i="2"/>
  <c r="P95" i="2"/>
  <c r="P129" i="2"/>
  <c r="P157" i="2"/>
  <c r="P190" i="2"/>
  <c r="Q161" i="2"/>
  <c r="P103" i="2"/>
  <c r="P137" i="2"/>
  <c r="P165" i="2"/>
  <c r="P212" i="2"/>
  <c r="Q29" i="2"/>
  <c r="Q99" i="2"/>
  <c r="Q220" i="2"/>
  <c r="Q206" i="2"/>
  <c r="P12" i="2"/>
  <c r="Q239" i="2"/>
  <c r="Q116" i="2"/>
  <c r="Q101" i="2"/>
  <c r="Q98" i="2"/>
  <c r="P215" i="2"/>
  <c r="Q137" i="2"/>
  <c r="N6" i="10"/>
  <c r="L6" i="10"/>
  <c r="M6" i="10"/>
  <c r="T6" i="10"/>
  <c r="U6" i="10" s="1"/>
  <c r="X6" i="10" s="1"/>
  <c r="O5" i="10"/>
  <c r="V5" i="10" s="1"/>
  <c r="Y5" i="10" s="1"/>
  <c r="K6" i="10"/>
  <c r="S107" i="2" l="1" a="1"/>
  <c r="S107" i="2" s="1"/>
  <c r="S84" i="2" a="1"/>
  <c r="S84" i="2" s="1"/>
  <c r="S98" i="2" a="1"/>
  <c r="S98" i="2" s="1"/>
  <c r="S124" i="2" a="1"/>
  <c r="S124" i="2" s="1"/>
  <c r="S119" i="2" a="1"/>
  <c r="S119" i="2" s="1"/>
  <c r="S43" i="2" a="1"/>
  <c r="S43" i="2" s="1"/>
  <c r="S77" i="2" a="1"/>
  <c r="S77" i="2" s="1"/>
  <c r="S243" i="2" a="1"/>
  <c r="S243" i="2" s="1"/>
  <c r="S112" i="2" a="1"/>
  <c r="S112" i="2" s="1"/>
  <c r="S173" i="2" a="1"/>
  <c r="S173" i="2" s="1"/>
  <c r="S109" i="2" a="1"/>
  <c r="S109" i="2" s="1"/>
  <c r="S69" i="2" a="1"/>
  <c r="S69" i="2" s="1"/>
  <c r="S53" i="2" a="1"/>
  <c r="S53" i="2" s="1"/>
  <c r="S110" i="2" a="1"/>
  <c r="S110" i="2" s="1"/>
  <c r="S86" i="2" a="1"/>
  <c r="S86" i="2" s="1"/>
  <c r="S145" i="2" a="1"/>
  <c r="S145" i="2" s="1"/>
  <c r="S57" i="2" a="1"/>
  <c r="S57" i="2" s="1"/>
  <c r="S214" i="2" a="1"/>
  <c r="S214" i="2" s="1"/>
  <c r="S114" i="2" a="1"/>
  <c r="S114" i="2" s="1"/>
  <c r="S136" i="2" a="1"/>
  <c r="S136" i="2" s="1"/>
  <c r="S52" i="2" a="1"/>
  <c r="S52" i="2" s="1"/>
  <c r="S138" i="2" a="1"/>
  <c r="S138" i="2" s="1"/>
  <c r="S240" i="2" a="1"/>
  <c r="S240" i="2" s="1"/>
  <c r="S66" i="2" a="1"/>
  <c r="S66" i="2" s="1"/>
  <c r="S219" i="2" a="1"/>
  <c r="S219" i="2" s="1"/>
  <c r="S211" i="2" a="1"/>
  <c r="S211" i="2" s="1"/>
  <c r="S242" i="2" a="1"/>
  <c r="S242" i="2" s="1"/>
  <c r="S59" i="2" a="1"/>
  <c r="S59" i="2" s="1"/>
  <c r="S200" i="2" a="1"/>
  <c r="S200" i="2" s="1"/>
  <c r="S244" i="2" a="1"/>
  <c r="S244" i="2" s="1"/>
  <c r="S55" i="2" a="1"/>
  <c r="S55" i="2" s="1"/>
  <c r="S27" i="2" a="1"/>
  <c r="S27" i="2" s="1"/>
  <c r="S19" i="2" a="1"/>
  <c r="S19" i="2" s="1"/>
  <c r="S122" i="2" a="1"/>
  <c r="S122" i="2" s="1"/>
  <c r="S50" i="2" a="1"/>
  <c r="S50" i="2" s="1"/>
  <c r="S106" i="2" a="1"/>
  <c r="S106" i="2" s="1"/>
  <c r="S139" i="2" a="1"/>
  <c r="S139" i="2" s="1"/>
  <c r="S67" i="2" a="1"/>
  <c r="S67" i="2" s="1"/>
  <c r="S123" i="2" a="1"/>
  <c r="S123" i="2" s="1"/>
  <c r="S141" i="2" a="1"/>
  <c r="S141" i="2" s="1"/>
  <c r="S49" i="2" a="1"/>
  <c r="S49" i="2" s="1"/>
  <c r="S149" i="2" a="1"/>
  <c r="S149" i="2" s="1"/>
  <c r="S170" i="2" a="1"/>
  <c r="S170" i="2" s="1"/>
  <c r="S34" i="2" a="1"/>
  <c r="S34" i="2" s="1"/>
  <c r="S76" i="2" a="1"/>
  <c r="S76" i="2" s="1"/>
  <c r="S130" i="2" a="1"/>
  <c r="S130" i="2" s="1"/>
  <c r="S9" i="2" a="1"/>
  <c r="S9" i="2" s="1"/>
  <c r="S60" i="2" a="1"/>
  <c r="S60" i="2" s="1"/>
  <c r="S175" i="2" a="1"/>
  <c r="S175" i="2" s="1"/>
  <c r="S85" i="2" a="1"/>
  <c r="S85" i="2" s="1"/>
  <c r="S201" i="2" a="1"/>
  <c r="S201" i="2" s="1"/>
  <c r="S209" i="2" a="1"/>
  <c r="S209" i="2" s="1"/>
  <c r="S165" i="2" a="1"/>
  <c r="S165" i="2" s="1"/>
  <c r="S205" i="2" a="1"/>
  <c r="S205" i="2" s="1"/>
  <c r="S95" i="2" a="1"/>
  <c r="S95" i="2" s="1"/>
  <c r="S206" i="2" a="1"/>
  <c r="S206" i="2" s="1"/>
  <c r="S48" i="2" a="1"/>
  <c r="S48" i="2" s="1"/>
  <c r="S42" i="2" a="1"/>
  <c r="S42" i="2" s="1"/>
  <c r="S179" i="2" a="1"/>
  <c r="S179" i="2" s="1"/>
  <c r="S184" i="2" a="1"/>
  <c r="S184" i="2" s="1"/>
  <c r="S36" i="2" a="1"/>
  <c r="S36" i="2" s="1"/>
  <c r="S142" i="2" a="1"/>
  <c r="S142" i="2" s="1"/>
  <c r="S151" i="2" a="1"/>
  <c r="S151" i="2" s="1"/>
  <c r="S222" i="2" a="1"/>
  <c r="S222" i="2" s="1"/>
  <c r="S14" i="2" a="1"/>
  <c r="S14" i="2" s="1"/>
  <c r="S230" i="2" a="1"/>
  <c r="S230" i="2" s="1"/>
  <c r="S70" i="2" a="1"/>
  <c r="S70" i="2" s="1"/>
  <c r="S168" i="2" a="1"/>
  <c r="S168" i="2" s="1"/>
  <c r="S39" i="2" a="1"/>
  <c r="S39" i="2" s="1"/>
  <c r="W6" i="10"/>
  <c r="S104" i="2" a="1"/>
  <c r="S104" i="2" s="1"/>
  <c r="S96" i="2" a="1"/>
  <c r="S96" i="2" s="1"/>
  <c r="S37" i="2" a="1"/>
  <c r="S37" i="2" s="1"/>
  <c r="S197" i="2" a="1"/>
  <c r="S197" i="2" s="1"/>
  <c r="S10" i="2" a="1"/>
  <c r="S10" i="2" s="1"/>
  <c r="S190" i="2" a="1"/>
  <c r="S190" i="2" s="1"/>
  <c r="S210" i="2" a="1"/>
  <c r="S210" i="2" s="1"/>
  <c r="S40" i="2" a="1"/>
  <c r="S40" i="2" s="1"/>
  <c r="S32" i="2" a="1"/>
  <c r="S32" i="2" s="1"/>
  <c r="S237" i="2" a="1"/>
  <c r="S237" i="2" s="1"/>
  <c r="S153" i="2" a="1"/>
  <c r="S153" i="2" s="1"/>
  <c r="S28" i="2" a="1"/>
  <c r="S28" i="2" s="1"/>
  <c r="S182" i="2" a="1"/>
  <c r="S182" i="2" s="1"/>
  <c r="S185" i="2" a="1"/>
  <c r="S185" i="2" s="1"/>
  <c r="S177" i="2" a="1"/>
  <c r="S177" i="2" s="1"/>
  <c r="S41" i="2" a="1"/>
  <c r="S41" i="2" s="1"/>
  <c r="S208" i="2" a="1"/>
  <c r="S208" i="2" s="1"/>
  <c r="S25" i="2" a="1"/>
  <c r="S25" i="2" s="1"/>
  <c r="S235" i="2" a="1"/>
  <c r="S235" i="2" s="1"/>
  <c r="S63" i="2" a="1"/>
  <c r="S63" i="2" s="1"/>
  <c r="S229" i="2" a="1"/>
  <c r="S229" i="2" s="1"/>
  <c r="S159" i="2" a="1"/>
  <c r="S159" i="2" s="1"/>
  <c r="S232" i="2" a="1"/>
  <c r="S232" i="2" s="1"/>
  <c r="S224" i="2" a="1"/>
  <c r="S224" i="2" s="1"/>
  <c r="S88" i="2" a="1"/>
  <c r="S88" i="2" s="1"/>
  <c r="S16" i="2" a="1"/>
  <c r="S16" i="2" s="1"/>
  <c r="S72" i="2" a="1"/>
  <c r="S72" i="2" s="1"/>
  <c r="S58" i="2" a="1"/>
  <c r="S58" i="2" s="1"/>
  <c r="S13" i="2" a="1"/>
  <c r="S13" i="2" s="1"/>
  <c r="S100" i="2" a="1"/>
  <c r="S100" i="2" s="1"/>
  <c r="S193" i="2" a="1"/>
  <c r="S193" i="2" s="1"/>
  <c r="S147" i="2" a="1"/>
  <c r="S147" i="2" s="1"/>
  <c r="S178" i="2" a="1"/>
  <c r="S178" i="2" s="1"/>
  <c r="S87" i="2" a="1"/>
  <c r="S87" i="2" s="1"/>
  <c r="S90" i="2" a="1"/>
  <c r="S90" i="2" s="1"/>
  <c r="S174" i="2" a="1"/>
  <c r="S174" i="2" s="1"/>
  <c r="S226" i="2" a="1"/>
  <c r="S226" i="2" s="1"/>
  <c r="S133" i="2" a="1"/>
  <c r="S133" i="2" s="1"/>
  <c r="S191" i="2" a="1"/>
  <c r="S191" i="2" s="1"/>
  <c r="S172" i="2" a="1"/>
  <c r="S172" i="2" s="1"/>
  <c r="S101" i="2" a="1"/>
  <c r="S101" i="2" s="1"/>
  <c r="S20" i="2" a="1"/>
  <c r="S20" i="2" s="1"/>
  <c r="S4" i="2" a="1"/>
  <c r="S4" i="2" s="1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T222" i="2" s="1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S26" i="2" a="1"/>
  <c r="S26" i="2" s="1"/>
  <c r="S126" i="2" a="1"/>
  <c r="S126" i="2" s="1"/>
  <c r="S56" i="2" a="1"/>
  <c r="S56" i="2" s="1"/>
  <c r="S162" i="2" a="1"/>
  <c r="S162" i="2" s="1"/>
  <c r="S213" i="2" a="1"/>
  <c r="S213" i="2" s="1"/>
  <c r="S21" i="2" a="1"/>
  <c r="S21" i="2" s="1"/>
  <c r="S231" i="2" a="1"/>
  <c r="S231" i="2" s="1"/>
  <c r="S131" i="2" a="1"/>
  <c r="S131" i="2" s="1"/>
  <c r="S62" i="2" a="1"/>
  <c r="S62" i="2" s="1"/>
  <c r="S176" i="2" a="1"/>
  <c r="S176" i="2" s="1"/>
  <c r="S188" i="2" a="1"/>
  <c r="S188" i="2" s="1"/>
  <c r="S120" i="2" a="1"/>
  <c r="S120" i="2" s="1"/>
  <c r="S239" i="2" a="1"/>
  <c r="S239" i="2" s="1"/>
  <c r="S135" i="2" a="1"/>
  <c r="S135" i="2" s="1"/>
  <c r="S220" i="2" a="1"/>
  <c r="S220" i="2" s="1"/>
  <c r="S132" i="2" a="1"/>
  <c r="S132" i="2" s="1"/>
  <c r="S218" i="2" a="1"/>
  <c r="S218" i="2" s="1"/>
  <c r="S238" i="2" a="1"/>
  <c r="S238" i="2" s="1"/>
  <c r="S115" i="2" a="1"/>
  <c r="S115" i="2" s="1"/>
  <c r="S221" i="2" a="1"/>
  <c r="S221" i="2" s="1"/>
  <c r="S29" i="2" a="1"/>
  <c r="S29" i="2" s="1"/>
  <c r="S7" i="2" a="1"/>
  <c r="S7" i="2" s="1"/>
  <c r="S212" i="2" a="1"/>
  <c r="S212" i="2" s="1"/>
  <c r="S127" i="2" a="1"/>
  <c r="S127" i="2" s="1"/>
  <c r="S157" i="2" a="1"/>
  <c r="S157" i="2" s="1"/>
  <c r="S45" i="2" a="1"/>
  <c r="S45" i="2" s="1"/>
  <c r="S105" i="2" a="1"/>
  <c r="S105" i="2" s="1"/>
  <c r="S33" i="2" a="1"/>
  <c r="S33" i="2" s="1"/>
  <c r="S89" i="2" a="1"/>
  <c r="S89" i="2" s="1"/>
  <c r="S186" i="2" a="1"/>
  <c r="S186" i="2" s="1"/>
  <c r="S80" i="2" a="1"/>
  <c r="S80" i="2" s="1"/>
  <c r="S30" i="2" a="1"/>
  <c r="S30" i="2" s="1"/>
  <c r="S54" i="2" a="1"/>
  <c r="S54" i="2" s="1"/>
  <c r="S108" i="2" a="1"/>
  <c r="S108" i="2" s="1"/>
  <c r="S154" i="2" a="1"/>
  <c r="S154" i="2" s="1"/>
  <c r="S113" i="2" a="1"/>
  <c r="S113" i="2" s="1"/>
  <c r="S216" i="2" a="1"/>
  <c r="S216" i="2" s="1"/>
  <c r="S144" i="2" a="1"/>
  <c r="S144" i="2" s="1"/>
  <c r="L7" i="10"/>
  <c r="T7" i="10"/>
  <c r="U7" i="10" s="1"/>
  <c r="X7" i="10" s="1"/>
  <c r="O6" i="10"/>
  <c r="V6" i="10" s="1"/>
  <c r="Y6" i="10" s="1"/>
  <c r="K7" i="10"/>
  <c r="M7" i="10"/>
  <c r="N7" i="10"/>
  <c r="N8" i="10" l="1"/>
  <c r="W7" i="10"/>
  <c r="L8" i="10"/>
  <c r="T8" i="10"/>
  <c r="U8" i="10" s="1"/>
  <c r="X8" i="10" s="1"/>
  <c r="O7" i="10"/>
  <c r="V7" i="10" s="1"/>
  <c r="Y7" i="10" s="1"/>
  <c r="K8" i="10"/>
  <c r="M8" i="10"/>
  <c r="W8" i="10" l="1"/>
  <c r="K9" i="10"/>
  <c r="M9" i="10"/>
  <c r="T9" i="10"/>
  <c r="U9" i="10" s="1"/>
  <c r="X9" i="10" s="1"/>
  <c r="O8" i="10"/>
  <c r="V8" i="10" s="1"/>
  <c r="Y8" i="10" s="1"/>
  <c r="L9" i="10"/>
  <c r="N9" i="10"/>
  <c r="N10" i="10" l="1"/>
  <c r="N11" i="10" s="1"/>
  <c r="W9" i="10"/>
  <c r="M10" i="10"/>
  <c r="K10" i="10"/>
  <c r="L10" i="10"/>
  <c r="T10" i="10"/>
  <c r="U10" i="10" s="1"/>
  <c r="X10" i="10" s="1"/>
  <c r="O9" i="10"/>
  <c r="V9" i="10" s="1"/>
  <c r="Y9" i="10" s="1"/>
  <c r="W10" i="10" l="1"/>
  <c r="T11" i="10"/>
  <c r="U11" i="10" s="1"/>
  <c r="X11" i="10" s="1"/>
  <c r="O10" i="10"/>
  <c r="V10" i="10" s="1"/>
  <c r="Y10" i="10" s="1"/>
  <c r="K11" i="10"/>
  <c r="L11" i="10"/>
  <c r="M11" i="10"/>
  <c r="N12" i="10" l="1"/>
  <c r="W11" i="10"/>
  <c r="M12" i="10"/>
  <c r="L12" i="10"/>
  <c r="T12" i="10"/>
  <c r="U12" i="10" s="1"/>
  <c r="X12" i="10" s="1"/>
  <c r="O11" i="10"/>
  <c r="V11" i="10" s="1"/>
  <c r="Y11" i="10" s="1"/>
  <c r="K12" i="10"/>
  <c r="W12" i="10" l="1"/>
  <c r="M13" i="10"/>
  <c r="T13" i="10"/>
  <c r="U13" i="10" s="1"/>
  <c r="X13" i="10" s="1"/>
  <c r="O12" i="10"/>
  <c r="V12" i="10" s="1"/>
  <c r="Y12" i="10" s="1"/>
  <c r="K13" i="10"/>
  <c r="L13" i="10"/>
  <c r="L14" i="10" s="1"/>
  <c r="N13" i="10"/>
  <c r="N14" i="10" l="1"/>
  <c r="W13" i="10"/>
  <c r="K14" i="10"/>
  <c r="T14" i="10"/>
  <c r="U14" i="10" s="1"/>
  <c r="X14" i="10" s="1"/>
  <c r="O13" i="10"/>
  <c r="V13" i="10" s="1"/>
  <c r="Y13" i="10" s="1"/>
  <c r="M14" i="10"/>
  <c r="M15" i="10" s="1"/>
  <c r="L15" i="10" l="1"/>
  <c r="W14" i="10"/>
  <c r="N15" i="10"/>
  <c r="T15" i="10"/>
  <c r="U15" i="10" s="1"/>
  <c r="X15" i="10" s="1"/>
  <c r="O14" i="10"/>
  <c r="V14" i="10" s="1"/>
  <c r="Y14" i="10" s="1"/>
  <c r="K15" i="10"/>
  <c r="W15" i="10" s="1"/>
  <c r="N16" i="10" l="1"/>
  <c r="K16" i="10"/>
  <c r="T16" i="10"/>
  <c r="U16" i="10" s="1"/>
  <c r="X16" i="10" s="1"/>
  <c r="O15" i="10"/>
  <c r="V15" i="10" s="1"/>
  <c r="Y15" i="10" s="1"/>
  <c r="M16" i="10"/>
  <c r="L16" i="10"/>
  <c r="L17" i="10" s="1"/>
  <c r="W16" i="10" l="1"/>
  <c r="M17" i="10"/>
  <c r="T17" i="10"/>
  <c r="U17" i="10" s="1"/>
  <c r="X17" i="10" s="1"/>
  <c r="O16" i="10"/>
  <c r="V16" i="10" s="1"/>
  <c r="Y16" i="10" s="1"/>
  <c r="K17" i="10"/>
  <c r="N17" i="10"/>
  <c r="N18" i="10" s="1"/>
  <c r="W17" i="10" l="1"/>
  <c r="K18" i="10"/>
  <c r="N19" i="10" s="1"/>
  <c r="T18" i="10"/>
  <c r="U18" i="10" s="1"/>
  <c r="X18" i="10" s="1"/>
  <c r="O17" i="10"/>
  <c r="V17" i="10" s="1"/>
  <c r="Y17" i="10" s="1"/>
  <c r="L18" i="10"/>
  <c r="M18" i="10"/>
  <c r="M19" i="10" s="1"/>
  <c r="L19" i="10" l="1"/>
  <c r="W18" i="10"/>
  <c r="T19" i="10"/>
  <c r="U19" i="10" s="1"/>
  <c r="X19" i="10" s="1"/>
  <c r="O18" i="10"/>
  <c r="V18" i="10" s="1"/>
  <c r="Y18" i="10" s="1"/>
  <c r="K19" i="10"/>
  <c r="W19" i="10" l="1"/>
  <c r="T20" i="10"/>
  <c r="U20" i="10" s="1"/>
  <c r="X20" i="10" s="1"/>
  <c r="O19" i="10"/>
  <c r="V19" i="10" s="1"/>
  <c r="Y19" i="10" s="1"/>
  <c r="K20" i="10"/>
  <c r="M20" i="10"/>
  <c r="L20" i="10"/>
  <c r="N20" i="10"/>
  <c r="N21" i="10" l="1"/>
  <c r="W21" i="10" s="1"/>
  <c r="W20" i="10"/>
  <c r="T21" i="10"/>
  <c r="U21" i="10" s="1"/>
  <c r="O20" i="10"/>
  <c r="V20" i="10" s="1"/>
  <c r="Y20" i="10" s="1"/>
  <c r="K22" i="10" l="1"/>
  <c r="L22" i="10"/>
  <c r="T23" i="10" s="1"/>
  <c r="X21" i="10"/>
  <c r="N22" i="10"/>
  <c r="M22" i="10"/>
  <c r="O21" i="10"/>
  <c r="V21" i="10" s="1"/>
  <c r="Y21" i="10" s="1"/>
  <c r="T22" i="10"/>
  <c r="U22" i="10" s="1"/>
  <c r="X22" i="10" s="1"/>
  <c r="M23" i="10" l="1"/>
  <c r="U23" i="10"/>
  <c r="X23" i="10" s="1"/>
  <c r="K23" i="10"/>
  <c r="N23" i="10"/>
  <c r="W22" i="10"/>
  <c r="O22" i="10"/>
  <c r="V22" i="10" s="1"/>
  <c r="Y22" i="10" s="1"/>
  <c r="L23" i="10"/>
  <c r="N24" i="10" s="1"/>
  <c r="O23" i="10" l="1"/>
  <c r="V23" i="10" s="1"/>
  <c r="Y23" i="10" s="1"/>
  <c r="L24" i="10"/>
  <c r="K24" i="10"/>
  <c r="T25" i="10" s="1"/>
  <c r="W23" i="10"/>
  <c r="T24" i="10"/>
  <c r="U24" i="10" s="1"/>
  <c r="X24" i="10" s="1"/>
  <c r="M24" i="10"/>
  <c r="M25" i="10" s="1"/>
  <c r="U25" i="10" l="1"/>
  <c r="X25" i="10" s="1"/>
  <c r="O24" i="10"/>
  <c r="V24" i="10" s="1"/>
  <c r="Y24" i="10" s="1"/>
  <c r="K25" i="10"/>
  <c r="W24" i="10"/>
  <c r="N25" i="10"/>
  <c r="L25" i="10"/>
  <c r="K26" i="10" l="1"/>
  <c r="L26" i="10"/>
  <c r="N26" i="10"/>
  <c r="W25" i="10"/>
  <c r="O25" i="10"/>
  <c r="V25" i="10" s="1"/>
  <c r="Y25" i="10" s="1"/>
  <c r="T26" i="10"/>
  <c r="U26" i="10" s="1"/>
  <c r="X26" i="10" s="1"/>
  <c r="M26" i="10"/>
  <c r="L27" i="10" s="1"/>
  <c r="N27" i="10"/>
  <c r="O26" i="10" l="1"/>
  <c r="V26" i="10" s="1"/>
  <c r="Y26" i="10" s="1"/>
  <c r="K27" i="10"/>
  <c r="T27" i="10"/>
  <c r="U27" i="10" s="1"/>
  <c r="X27" i="10" s="1"/>
  <c r="M27" i="10"/>
  <c r="L28" i="10" s="1"/>
  <c r="W26" i="10"/>
  <c r="N28" i="10" l="1"/>
  <c r="W27" i="10"/>
  <c r="O27" i="10"/>
  <c r="V27" i="10" s="1"/>
  <c r="Y27" i="10" s="1"/>
  <c r="K28" i="10"/>
  <c r="W28" i="10" s="1"/>
  <c r="T28" i="10"/>
  <c r="U28" i="10" s="1"/>
  <c r="X28" i="10" s="1"/>
  <c r="M28" i="10"/>
  <c r="O28" i="10" l="1"/>
  <c r="V28" i="10" s="1"/>
  <c r="Y28" i="10" s="1"/>
  <c r="T29" i="10"/>
  <c r="U29" i="10" s="1"/>
  <c r="X29" i="10" s="1"/>
  <c r="N29" i="10"/>
  <c r="M29" i="10"/>
  <c r="K29" i="10"/>
  <c r="L29" i="10"/>
  <c r="L30" i="10" s="1"/>
  <c r="O29" i="10" l="1"/>
  <c r="V29" i="10" s="1"/>
  <c r="Y29" i="10" s="1"/>
  <c r="M30" i="10"/>
  <c r="T30" i="10"/>
  <c r="U30" i="10" s="1"/>
  <c r="X30" i="10" s="1"/>
  <c r="K30" i="10"/>
  <c r="W29" i="10"/>
  <c r="N30" i="10"/>
  <c r="L31" i="10" s="1"/>
  <c r="K31" i="10"/>
  <c r="T31" i="10" l="1"/>
  <c r="U31" i="10" s="1"/>
  <c r="X31" i="10" s="1"/>
  <c r="O30" i="10"/>
  <c r="V30" i="10" s="1"/>
  <c r="Y30" i="10" s="1"/>
  <c r="N31" i="10"/>
  <c r="N32" i="10" s="1"/>
  <c r="W30" i="10"/>
  <c r="M31" i="10"/>
  <c r="W31" i="10" s="1"/>
  <c r="K32" i="10"/>
  <c r="T32" i="10"/>
  <c r="U32" i="10" s="1"/>
  <c r="X32" i="10" s="1"/>
  <c r="O31" i="10"/>
  <c r="V31" i="10" s="1"/>
  <c r="Y31" i="10" s="1"/>
  <c r="M32" i="10" l="1"/>
  <c r="L32" i="10"/>
  <c r="L33" i="10" s="1"/>
  <c r="N33" i="10"/>
  <c r="T33" i="10"/>
  <c r="U33" i="10" s="1"/>
  <c r="X33" i="10" s="1"/>
  <c r="O32" i="10"/>
  <c r="V32" i="10" s="1"/>
  <c r="Y32" i="10" s="1"/>
  <c r="K33" i="10"/>
  <c r="M33" i="10" l="1"/>
  <c r="W33" i="10" s="1"/>
  <c r="W32" i="10"/>
  <c r="K34" i="10"/>
  <c r="T34" i="10"/>
  <c r="U34" i="10" s="1"/>
  <c r="X34" i="10" s="1"/>
  <c r="O33" i="10"/>
  <c r="V33" i="10" s="1"/>
  <c r="Y33" i="10" s="1"/>
  <c r="M34" i="10"/>
  <c r="L34" i="10"/>
  <c r="N34" i="10" l="1"/>
  <c r="W34" i="10"/>
  <c r="K35" i="10"/>
  <c r="L35" i="10"/>
  <c r="M35" i="10"/>
  <c r="T35" i="10"/>
  <c r="U35" i="10" s="1"/>
  <c r="X35" i="10" s="1"/>
  <c r="O34" i="10"/>
  <c r="V34" i="10" s="1"/>
  <c r="Y34" i="10" s="1"/>
  <c r="N35" i="10"/>
  <c r="N36" i="10" s="1"/>
  <c r="W35" i="10" l="1"/>
  <c r="M36" i="10"/>
  <c r="T36" i="10"/>
  <c r="U36" i="10" s="1"/>
  <c r="X36" i="10" s="1"/>
  <c r="O35" i="10"/>
  <c r="V35" i="10" s="1"/>
  <c r="Y35" i="10" s="1"/>
  <c r="K36" i="10"/>
  <c r="W36" i="10" s="1"/>
  <c r="L36" i="10"/>
  <c r="L37" i="10" l="1"/>
  <c r="K37" i="10"/>
  <c r="T37" i="10"/>
  <c r="U37" i="10" s="1"/>
  <c r="X37" i="10" s="1"/>
  <c r="O36" i="10"/>
  <c r="V36" i="10" s="1"/>
  <c r="Y36" i="10" s="1"/>
  <c r="M37" i="10"/>
  <c r="N37" i="10"/>
  <c r="N38" i="10" s="1"/>
  <c r="M38" i="10" l="1"/>
  <c r="W37" i="10"/>
  <c r="T38" i="10"/>
  <c r="U38" i="10" s="1"/>
  <c r="X38" i="10" s="1"/>
  <c r="O37" i="10"/>
  <c r="V37" i="10" s="1"/>
  <c r="Y37" i="10" s="1"/>
  <c r="K38" i="10"/>
  <c r="L38" i="10"/>
  <c r="W38" i="10" l="1"/>
  <c r="L39" i="10"/>
  <c r="T39" i="10"/>
  <c r="U39" i="10" s="1"/>
  <c r="X39" i="10" s="1"/>
  <c r="O38" i="10"/>
  <c r="V38" i="10" s="1"/>
  <c r="Y38" i="10" s="1"/>
  <c r="K39" i="10"/>
  <c r="M39" i="10"/>
  <c r="N39" i="10"/>
  <c r="N40" i="10" s="1"/>
  <c r="W40" i="10" s="1"/>
  <c r="W39" i="10" l="1"/>
  <c r="O40" i="10"/>
  <c r="V40" i="10" s="1"/>
  <c r="Y40" i="10" s="1"/>
  <c r="T41" i="10"/>
  <c r="N41" i="10"/>
  <c r="L41" i="10"/>
  <c r="M41" i="10"/>
  <c r="K41" i="10"/>
  <c r="W41" i="10" s="1"/>
  <c r="T40" i="10"/>
  <c r="U40" i="10" s="1"/>
  <c r="O39" i="10"/>
  <c r="V39" i="10" s="1"/>
  <c r="Y39" i="10" s="1"/>
  <c r="U41" i="10" l="1"/>
  <c r="X41" i="10" s="1"/>
  <c r="X40" i="10"/>
  <c r="N42" i="10"/>
  <c r="K42" i="10"/>
  <c r="T42" i="10"/>
  <c r="U42" i="10" s="1"/>
  <c r="X42" i="10" s="1"/>
  <c r="O41" i="10"/>
  <c r="V41" i="10" s="1"/>
  <c r="Y41" i="10" s="1"/>
  <c r="M42" i="10"/>
  <c r="L42" i="10"/>
  <c r="L43" i="10" s="1"/>
  <c r="W42" i="10" l="1"/>
  <c r="T43" i="10"/>
  <c r="U43" i="10" s="1"/>
  <c r="X43" i="10" s="1"/>
  <c r="O42" i="10"/>
  <c r="V42" i="10" s="1"/>
  <c r="Y42" i="10" s="1"/>
  <c r="K43" i="10"/>
  <c r="M43" i="10"/>
  <c r="N43" i="10"/>
  <c r="N44" i="10" s="1"/>
  <c r="M44" i="10" l="1"/>
  <c r="W43" i="10"/>
  <c r="K44" i="10"/>
  <c r="T44" i="10"/>
  <c r="U44" i="10" s="1"/>
  <c r="X44" i="10" s="1"/>
  <c r="O43" i="10"/>
  <c r="V43" i="10" s="1"/>
  <c r="Y43" i="10" s="1"/>
  <c r="L44" i="10"/>
  <c r="L45" i="10" s="1"/>
  <c r="W44" i="10" l="1"/>
  <c r="N45" i="10"/>
  <c r="T45" i="10"/>
  <c r="U45" i="10" s="1"/>
  <c r="X45" i="10" s="1"/>
  <c r="O44" i="10"/>
  <c r="V44" i="10" s="1"/>
  <c r="Y44" i="10" s="1"/>
  <c r="K45" i="10"/>
  <c r="M45" i="10"/>
  <c r="M46" i="10" s="1"/>
  <c r="W45" i="10" l="1"/>
  <c r="K46" i="10"/>
  <c r="T46" i="10"/>
  <c r="U46" i="10" s="1"/>
  <c r="X46" i="10" s="1"/>
  <c r="O45" i="10"/>
  <c r="V45" i="10" s="1"/>
  <c r="Y45" i="10" s="1"/>
  <c r="N46" i="10"/>
  <c r="L46" i="10"/>
  <c r="L47" i="10" s="1"/>
  <c r="N47" i="10" l="1"/>
  <c r="W46" i="10"/>
  <c r="T47" i="10"/>
  <c r="U47" i="10" s="1"/>
  <c r="X47" i="10" s="1"/>
  <c r="O46" i="10"/>
  <c r="V46" i="10" s="1"/>
  <c r="Y46" i="10" s="1"/>
  <c r="K47" i="10"/>
  <c r="M47" i="10"/>
  <c r="W47" i="10" l="1"/>
  <c r="T48" i="10"/>
  <c r="U48" i="10" s="1"/>
  <c r="X48" i="10" s="1"/>
  <c r="O47" i="10"/>
  <c r="V47" i="10" s="1"/>
  <c r="Y47" i="10" s="1"/>
  <c r="K48" i="10"/>
  <c r="M48" i="10"/>
  <c r="L48" i="10"/>
  <c r="N48" i="10"/>
  <c r="N49" i="10" s="1"/>
  <c r="L49" i="10" l="1"/>
  <c r="W48" i="10"/>
  <c r="M49" i="10"/>
  <c r="T49" i="10"/>
  <c r="U49" i="10" s="1"/>
  <c r="X49" i="10" s="1"/>
  <c r="O48" i="10"/>
  <c r="V48" i="10" s="1"/>
  <c r="Y48" i="10" s="1"/>
  <c r="K49" i="10"/>
  <c r="W49" i="10" s="1"/>
  <c r="T50" i="10" l="1"/>
  <c r="U50" i="10" s="1"/>
  <c r="X50" i="10" s="1"/>
  <c r="O49" i="10"/>
  <c r="V49" i="10" s="1"/>
  <c r="Y49" i="10" s="1"/>
  <c r="K50" i="10"/>
  <c r="M50" i="10"/>
  <c r="N50" i="10"/>
  <c r="L50" i="10"/>
  <c r="L51" i="10" s="1"/>
  <c r="W50" i="10" l="1"/>
  <c r="N51" i="10"/>
  <c r="T51" i="10"/>
  <c r="U51" i="10" s="1"/>
  <c r="X51" i="10" s="1"/>
  <c r="O50" i="10"/>
  <c r="V50" i="10" s="1"/>
  <c r="Y50" i="10" s="1"/>
  <c r="K51" i="10"/>
  <c r="W51" i="10" s="1"/>
  <c r="M51" i="10"/>
  <c r="M52" i="10" s="1"/>
  <c r="T52" i="10" l="1"/>
  <c r="U52" i="10" s="1"/>
  <c r="X52" i="10" s="1"/>
  <c r="O51" i="10"/>
  <c r="V51" i="10" s="1"/>
  <c r="Y51" i="10" s="1"/>
  <c r="K52" i="10"/>
  <c r="L52" i="10"/>
  <c r="N52" i="10"/>
  <c r="L53" i="10" l="1"/>
  <c r="N53" i="10"/>
  <c r="W52" i="10"/>
  <c r="T53" i="10"/>
  <c r="U53" i="10" s="1"/>
  <c r="X53" i="10" s="1"/>
  <c r="O52" i="10"/>
  <c r="V52" i="10" s="1"/>
  <c r="Y52" i="10" s="1"/>
  <c r="K53" i="10"/>
  <c r="M53" i="10"/>
  <c r="M54" i="10" s="1"/>
  <c r="L54" i="10" l="1"/>
  <c r="W53" i="10"/>
  <c r="T54" i="10"/>
  <c r="U54" i="10" s="1"/>
  <c r="X54" i="10" s="1"/>
  <c r="O53" i="10"/>
  <c r="V53" i="10" s="1"/>
  <c r="Y53" i="10" s="1"/>
  <c r="K54" i="10"/>
  <c r="W54" i="10" s="1"/>
  <c r="N54" i="10"/>
  <c r="T55" i="10" l="1"/>
  <c r="U55" i="10" s="1"/>
  <c r="X55" i="10" s="1"/>
  <c r="O54" i="10"/>
  <c r="V54" i="10" s="1"/>
  <c r="Y54" i="10" s="1"/>
  <c r="K55" i="10"/>
  <c r="N55" i="10"/>
  <c r="M55" i="10"/>
  <c r="L55" i="10"/>
  <c r="L56" i="10" s="1"/>
  <c r="N56" i="10" l="1"/>
  <c r="M56" i="10"/>
  <c r="W55" i="10"/>
  <c r="T56" i="10"/>
  <c r="U56" i="10" s="1"/>
  <c r="X56" i="10" s="1"/>
  <c r="O55" i="10"/>
  <c r="V55" i="10" s="1"/>
  <c r="Y55" i="10" s="1"/>
  <c r="K56" i="10"/>
  <c r="L57" i="10" l="1"/>
  <c r="W56" i="10"/>
  <c r="T57" i="10"/>
  <c r="U57" i="10" s="1"/>
  <c r="X57" i="10" s="1"/>
  <c r="O56" i="10"/>
  <c r="V56" i="10" s="1"/>
  <c r="Y56" i="10" s="1"/>
  <c r="K57" i="10"/>
  <c r="M57" i="10"/>
  <c r="N57" i="10"/>
  <c r="N58" i="10" l="1"/>
  <c r="M58" i="10"/>
  <c r="W57" i="10"/>
  <c r="K58" i="10"/>
  <c r="T58" i="10"/>
  <c r="U58" i="10" s="1"/>
  <c r="X58" i="10" s="1"/>
  <c r="O57" i="10"/>
  <c r="V57" i="10" s="1"/>
  <c r="Y57" i="10" s="1"/>
  <c r="L58" i="10"/>
  <c r="L59" i="10" s="1"/>
  <c r="W58" i="10" l="1"/>
  <c r="T59" i="10"/>
  <c r="U59" i="10" s="1"/>
  <c r="X59" i="10" s="1"/>
  <c r="O58" i="10"/>
  <c r="V58" i="10" s="1"/>
  <c r="Y58" i="10" s="1"/>
  <c r="K59" i="10"/>
  <c r="M59" i="10"/>
  <c r="N59" i="10"/>
  <c r="N60" i="10" s="1"/>
  <c r="W59" i="10" l="1"/>
  <c r="M60" i="10"/>
  <c r="T60" i="10"/>
  <c r="U60" i="10" s="1"/>
  <c r="X60" i="10" s="1"/>
  <c r="O59" i="10"/>
  <c r="V59" i="10" s="1"/>
  <c r="Y59" i="10" s="1"/>
  <c r="K60" i="10"/>
  <c r="L60" i="10"/>
  <c r="L61" i="10" s="1"/>
  <c r="N61" i="10" l="1"/>
  <c r="W60" i="10"/>
  <c r="T61" i="10"/>
  <c r="U61" i="10" s="1"/>
  <c r="X61" i="10" s="1"/>
  <c r="O60" i="10"/>
  <c r="V60" i="10" s="1"/>
  <c r="Y60" i="10" s="1"/>
  <c r="K61" i="10"/>
  <c r="M61" i="10"/>
  <c r="M62" i="10" s="1"/>
  <c r="W61" i="10" l="1"/>
  <c r="T62" i="10"/>
  <c r="U62" i="10" s="1"/>
  <c r="X62" i="10" s="1"/>
  <c r="O61" i="10"/>
  <c r="V61" i="10" s="1"/>
  <c r="Y61" i="10" s="1"/>
  <c r="K62" i="10"/>
  <c r="N62" i="10"/>
  <c r="N63" i="10" s="1"/>
  <c r="W63" i="10" s="1"/>
  <c r="L62" i="10"/>
  <c r="W62" i="10" l="1"/>
  <c r="T64" i="10"/>
  <c r="O63" i="10"/>
  <c r="V63" i="10" s="1"/>
  <c r="Y63" i="10" s="1"/>
  <c r="N64" i="10"/>
  <c r="M64" i="10"/>
  <c r="L64" i="10"/>
  <c r="K64" i="10"/>
  <c r="W64" i="10" s="1"/>
  <c r="U63" i="10"/>
  <c r="T63" i="10"/>
  <c r="O62" i="10"/>
  <c r="V62" i="10" s="1"/>
  <c r="Y62" i="10" s="1"/>
  <c r="U64" i="10" l="1"/>
  <c r="X64" i="10" s="1"/>
  <c r="X63" i="10"/>
  <c r="M65" i="10"/>
  <c r="N65" i="10"/>
  <c r="T65" i="10"/>
  <c r="U65" i="10" s="1"/>
  <c r="X65" i="10" s="1"/>
  <c r="O64" i="10"/>
  <c r="V64" i="10" s="1"/>
  <c r="Y64" i="10" s="1"/>
  <c r="K65" i="10"/>
  <c r="L65" i="10"/>
  <c r="L66" i="10" s="1"/>
  <c r="W65" i="10" l="1"/>
  <c r="N66" i="10"/>
  <c r="T66" i="10"/>
  <c r="U66" i="10" s="1"/>
  <c r="X66" i="10" s="1"/>
  <c r="O65" i="10"/>
  <c r="V65" i="10" s="1"/>
  <c r="Y65" i="10" s="1"/>
  <c r="K66" i="10"/>
  <c r="M66" i="10"/>
  <c r="M67" i="10" s="1"/>
  <c r="W66" i="10" l="1"/>
  <c r="T67" i="10"/>
  <c r="U67" i="10" s="1"/>
  <c r="X67" i="10" s="1"/>
  <c r="O66" i="10"/>
  <c r="V66" i="10" s="1"/>
  <c r="Y66" i="10" s="1"/>
  <c r="K67" i="10"/>
  <c r="N67" i="10"/>
  <c r="L67" i="10"/>
  <c r="L68" i="10" s="1"/>
  <c r="N68" i="10" l="1"/>
  <c r="W67" i="10"/>
  <c r="K68" i="10"/>
  <c r="T68" i="10"/>
  <c r="U68" i="10" s="1"/>
  <c r="X68" i="10" s="1"/>
  <c r="O67" i="10"/>
  <c r="V67" i="10" s="1"/>
  <c r="Y67" i="10" s="1"/>
  <c r="M68" i="10"/>
  <c r="M69" i="10" s="1"/>
  <c r="N69" i="10" l="1"/>
  <c r="W68" i="10"/>
  <c r="T69" i="10"/>
  <c r="U69" i="10" s="1"/>
  <c r="X69" i="10" s="1"/>
  <c r="O68" i="10"/>
  <c r="V68" i="10" s="1"/>
  <c r="Y68" i="10" s="1"/>
  <c r="K69" i="10"/>
  <c r="L69" i="10"/>
  <c r="L70" i="10" s="1"/>
  <c r="W69" i="10" l="1"/>
  <c r="K70" i="10"/>
  <c r="T70" i="10"/>
  <c r="U70" i="10" s="1"/>
  <c r="X70" i="10" s="1"/>
  <c r="O69" i="10"/>
  <c r="V69" i="10" s="1"/>
  <c r="Y69" i="10" s="1"/>
  <c r="N70" i="10"/>
  <c r="N71" i="10" s="1"/>
  <c r="M70" i="10"/>
  <c r="M71" i="10" s="1"/>
  <c r="W70" i="10" l="1"/>
  <c r="T71" i="10"/>
  <c r="U71" i="10" s="1"/>
  <c r="X71" i="10" s="1"/>
  <c r="O70" i="10"/>
  <c r="V70" i="10" s="1"/>
  <c r="Y70" i="10" s="1"/>
  <c r="K71" i="10"/>
  <c r="L71" i="10"/>
  <c r="L72" i="10" s="1"/>
  <c r="W71" i="10" l="1"/>
  <c r="T72" i="10"/>
  <c r="U72" i="10" s="1"/>
  <c r="X72" i="10" s="1"/>
  <c r="O71" i="10"/>
  <c r="V71" i="10" s="1"/>
  <c r="Y71" i="10" s="1"/>
  <c r="K72" i="10"/>
  <c r="N72" i="10"/>
  <c r="M72" i="10"/>
  <c r="M73" i="10" s="1"/>
  <c r="W72" i="10" l="1"/>
  <c r="T73" i="10"/>
  <c r="U73" i="10" s="1"/>
  <c r="X73" i="10" s="1"/>
  <c r="O72" i="10"/>
  <c r="V72" i="10" s="1"/>
  <c r="Y72" i="10" s="1"/>
  <c r="K73" i="10"/>
  <c r="N73" i="10"/>
  <c r="L73" i="10"/>
  <c r="L74" i="10" s="1"/>
  <c r="W73" i="10" l="1"/>
  <c r="T74" i="10"/>
  <c r="U74" i="10" s="1"/>
  <c r="X74" i="10" s="1"/>
  <c r="O73" i="10"/>
  <c r="V73" i="10" s="1"/>
  <c r="Y73" i="10" s="1"/>
  <c r="K74" i="10"/>
  <c r="N74" i="10"/>
  <c r="M74" i="10"/>
  <c r="M75" i="10" s="1"/>
  <c r="W74" i="10" l="1"/>
  <c r="N75" i="10"/>
  <c r="T75" i="10"/>
  <c r="U75" i="10" s="1"/>
  <c r="X75" i="10" s="1"/>
  <c r="O74" i="10"/>
  <c r="V74" i="10" s="1"/>
  <c r="Y74" i="10" s="1"/>
  <c r="K75" i="10"/>
  <c r="L75" i="10"/>
  <c r="L76" i="10" s="1"/>
  <c r="W75" i="10" l="1"/>
  <c r="T76" i="10"/>
  <c r="U76" i="10" s="1"/>
  <c r="X76" i="10" s="1"/>
  <c r="O75" i="10"/>
  <c r="V75" i="10" s="1"/>
  <c r="Y75" i="10" s="1"/>
  <c r="K76" i="10"/>
  <c r="N76" i="10"/>
  <c r="N77" i="10" s="1"/>
  <c r="M76" i="10"/>
  <c r="M77" i="10" s="1"/>
  <c r="W76" i="10" l="1"/>
  <c r="T77" i="10"/>
  <c r="U77" i="10" s="1"/>
  <c r="X77" i="10" s="1"/>
  <c r="O76" i="10"/>
  <c r="V76" i="10" s="1"/>
  <c r="Y76" i="10" s="1"/>
  <c r="K77" i="10"/>
  <c r="L77" i="10"/>
  <c r="W77" i="10" l="1"/>
  <c r="T78" i="10"/>
  <c r="U78" i="10" s="1"/>
  <c r="X78" i="10" s="1"/>
  <c r="O77" i="10"/>
  <c r="V77" i="10" s="1"/>
  <c r="Y77" i="10" s="1"/>
  <c r="K78" i="10"/>
  <c r="L78" i="10"/>
  <c r="N78" i="10"/>
  <c r="M78" i="10"/>
  <c r="M79" i="10" s="1"/>
  <c r="W78" i="10" l="1"/>
  <c r="L79" i="10"/>
  <c r="N79" i="10"/>
  <c r="T79" i="10"/>
  <c r="U79" i="10" s="1"/>
  <c r="X79" i="10" s="1"/>
  <c r="O78" i="10"/>
  <c r="V78" i="10" s="1"/>
  <c r="Y78" i="10" s="1"/>
  <c r="K79" i="10"/>
  <c r="W79" i="10" s="1"/>
  <c r="T80" i="10" l="1"/>
  <c r="U80" i="10" s="1"/>
  <c r="X80" i="10" s="1"/>
  <c r="O79" i="10"/>
  <c r="V79" i="10" s="1"/>
  <c r="Y79" i="10" s="1"/>
  <c r="K80" i="10"/>
  <c r="N80" i="10"/>
  <c r="L80" i="10"/>
  <c r="L81" i="10" s="1"/>
  <c r="M80" i="10"/>
  <c r="M81" i="10" s="1"/>
  <c r="W80" i="10" l="1"/>
  <c r="K81" i="10"/>
  <c r="T81" i="10"/>
  <c r="U81" i="10" s="1"/>
  <c r="X81" i="10" s="1"/>
  <c r="O80" i="10"/>
  <c r="V80" i="10" s="1"/>
  <c r="Y80" i="10" s="1"/>
  <c r="N81" i="10"/>
  <c r="N82" i="10" s="1"/>
  <c r="N83" i="10" l="1"/>
  <c r="W82" i="10"/>
  <c r="M83" i="10"/>
  <c r="W81" i="10"/>
  <c r="T83" i="10"/>
  <c r="O82" i="10"/>
  <c r="V82" i="10" s="1"/>
  <c r="Y82" i="10" s="1"/>
  <c r="K83" i="10"/>
  <c r="W83" i="10" s="1"/>
  <c r="T82" i="10"/>
  <c r="U82" i="10" s="1"/>
  <c r="O81" i="10"/>
  <c r="V81" i="10" s="1"/>
  <c r="Y81" i="10" s="1"/>
  <c r="L83" i="10"/>
  <c r="U83" i="10" l="1"/>
  <c r="X83" i="10" s="1"/>
  <c r="X82" i="10"/>
  <c r="T84" i="10"/>
  <c r="U84" i="10" s="1"/>
  <c r="X84" i="10" s="1"/>
  <c r="O83" i="10"/>
  <c r="V83" i="10" s="1"/>
  <c r="Y83" i="10" s="1"/>
  <c r="N84" i="10"/>
  <c r="K84" i="10"/>
  <c r="L84" i="10"/>
  <c r="M84" i="10"/>
  <c r="M85" i="10" s="1"/>
  <c r="W84" i="10" l="1"/>
  <c r="L85" i="10"/>
  <c r="N85" i="10"/>
  <c r="T85" i="10"/>
  <c r="U85" i="10" s="1"/>
  <c r="X85" i="10" s="1"/>
  <c r="O84" i="10"/>
  <c r="V84" i="10" s="1"/>
  <c r="Y84" i="10" s="1"/>
  <c r="K85" i="10"/>
  <c r="W85" i="10" s="1"/>
  <c r="T86" i="10" l="1"/>
  <c r="U86" i="10" s="1"/>
  <c r="X86" i="10" s="1"/>
  <c r="O85" i="10"/>
  <c r="V85" i="10" s="1"/>
  <c r="Y85" i="10" s="1"/>
  <c r="L86" i="10"/>
  <c r="K86" i="10"/>
  <c r="N86" i="10"/>
  <c r="M86" i="10"/>
  <c r="M87" i="10" s="1"/>
  <c r="L87" i="10" l="1"/>
  <c r="W86" i="10"/>
  <c r="T87" i="10"/>
  <c r="U87" i="10" s="1"/>
  <c r="X87" i="10" s="1"/>
  <c r="O86" i="10"/>
  <c r="V86" i="10" s="1"/>
  <c r="Y86" i="10" s="1"/>
  <c r="N87" i="10"/>
  <c r="K87" i="10"/>
  <c r="N88" i="10" l="1"/>
  <c r="K88" i="10"/>
  <c r="W87" i="10"/>
  <c r="T88" i="10"/>
  <c r="U88" i="10" s="1"/>
  <c r="X88" i="10" s="1"/>
  <c r="O87" i="10"/>
  <c r="V87" i="10" s="1"/>
  <c r="Y87" i="10" s="1"/>
  <c r="L88" i="10"/>
  <c r="T89" i="10" s="1"/>
  <c r="M88" i="10"/>
  <c r="N89" i="10" l="1"/>
  <c r="W88" i="10"/>
  <c r="U89" i="10"/>
  <c r="X89" i="10" s="1"/>
  <c r="M89" i="10"/>
  <c r="K89" i="10"/>
  <c r="O88" i="10"/>
  <c r="V88" i="10" s="1"/>
  <c r="Y88" i="10" s="1"/>
  <c r="L89" i="10"/>
  <c r="N90" i="10"/>
  <c r="L90" i="10" l="1"/>
  <c r="W89" i="10"/>
  <c r="K90" i="10"/>
  <c r="T90" i="10"/>
  <c r="O89" i="10"/>
  <c r="V89" i="10" s="1"/>
  <c r="Y89" i="10" s="1"/>
  <c r="M90" i="10"/>
  <c r="M91" i="10" s="1"/>
  <c r="U90" i="10"/>
  <c r="X90" i="10" s="1"/>
  <c r="K91" i="10"/>
  <c r="W90" i="10" l="1"/>
  <c r="T91" i="10"/>
  <c r="U91" i="10" s="1"/>
  <c r="O90" i="10"/>
  <c r="V90" i="10" s="1"/>
  <c r="Y90" i="10" s="1"/>
  <c r="L91" i="10"/>
  <c r="N91" i="10"/>
  <c r="N92" i="10" s="1"/>
  <c r="W91" i="10" l="1"/>
  <c r="O91" i="10"/>
  <c r="V91" i="10" s="1"/>
  <c r="Y91" i="10" s="1"/>
  <c r="M92" i="10"/>
  <c r="X91" i="10"/>
  <c r="T92" i="10"/>
  <c r="U92" i="10" s="1"/>
  <c r="X92" i="10" s="1"/>
  <c r="L92" i="10"/>
  <c r="L93" i="10" s="1"/>
  <c r="K92" i="10"/>
  <c r="M93" i="10"/>
  <c r="W92" i="10" l="1"/>
  <c r="N93" i="10"/>
  <c r="K93" i="10"/>
  <c r="W93" i="10" s="1"/>
  <c r="O92" i="10"/>
  <c r="V92" i="10" s="1"/>
  <c r="Y92" i="10" s="1"/>
  <c r="T93" i="10"/>
  <c r="U93" i="10" s="1"/>
  <c r="X93" i="10" s="1"/>
  <c r="N94" i="10" l="1"/>
  <c r="M94" i="10"/>
  <c r="O93" i="10"/>
  <c r="V93" i="10" s="1"/>
  <c r="Y93" i="10" s="1"/>
  <c r="T94" i="10"/>
  <c r="U94" i="10" s="1"/>
  <c r="X94" i="10" s="1"/>
  <c r="K94" i="10"/>
  <c r="T95" i="10" s="1"/>
  <c r="U95" i="10" s="1"/>
  <c r="X95" i="10" s="1"/>
  <c r="L94" i="10"/>
  <c r="K95" i="10" s="1"/>
  <c r="N95" i="10"/>
  <c r="L95" i="10" l="1"/>
  <c r="O94" i="10"/>
  <c r="V94" i="10" s="1"/>
  <c r="Y94" i="10" s="1"/>
  <c r="W94" i="10"/>
  <c r="M95" i="10"/>
  <c r="W95" i="10" s="1"/>
  <c r="T96" i="10"/>
  <c r="U96" i="10" s="1"/>
  <c r="X96" i="10" s="1"/>
  <c r="M96" i="10"/>
  <c r="O95" i="10" l="1"/>
  <c r="V95" i="10" s="1"/>
  <c r="Y95" i="10" s="1"/>
  <c r="L96" i="10"/>
  <c r="N96" i="10"/>
  <c r="K96" i="10"/>
  <c r="W96" i="10" s="1"/>
  <c r="L97" i="10"/>
  <c r="K97" i="10" l="1"/>
  <c r="N97" i="10"/>
  <c r="T97" i="10"/>
  <c r="U97" i="10" s="1"/>
  <c r="X97" i="10" s="1"/>
  <c r="O96" i="10"/>
  <c r="V96" i="10" s="1"/>
  <c r="Y96" i="10" s="1"/>
  <c r="M97" i="10"/>
  <c r="L98" i="10" s="1"/>
  <c r="T98" i="10"/>
  <c r="U98" i="10" s="1"/>
  <c r="X98" i="10" s="1"/>
  <c r="O97" i="10"/>
  <c r="V97" i="10" s="1"/>
  <c r="Y97" i="10" s="1"/>
  <c r="N98" i="10" l="1"/>
  <c r="M98" i="10"/>
  <c r="M99" i="10" s="1"/>
  <c r="K98" i="10"/>
  <c r="L99" i="10" s="1"/>
  <c r="W98" i="10"/>
  <c r="W97" i="10"/>
  <c r="K99" i="10"/>
  <c r="T99" i="10"/>
  <c r="U99" i="10" s="1"/>
  <c r="X99" i="10" s="1"/>
  <c r="O98" i="10"/>
  <c r="V98" i="10" s="1"/>
  <c r="Y98" i="10" s="1"/>
  <c r="N99" i="10" l="1"/>
  <c r="N100" i="10" s="1"/>
  <c r="W99" i="10"/>
  <c r="L100" i="10"/>
  <c r="T100" i="10"/>
  <c r="U100" i="10" s="1"/>
  <c r="X100" i="10" s="1"/>
  <c r="O99" i="10"/>
  <c r="V99" i="10" s="1"/>
  <c r="Y99" i="10" s="1"/>
  <c r="M100" i="10"/>
  <c r="K100" i="10"/>
  <c r="W100" i="10" l="1"/>
  <c r="K101" i="10"/>
  <c r="T101" i="10"/>
  <c r="U101" i="10" s="1"/>
  <c r="X101" i="10" s="1"/>
  <c r="O100" i="10"/>
  <c r="V100" i="10" s="1"/>
  <c r="Y100" i="10" s="1"/>
  <c r="L101" i="10"/>
  <c r="M101" i="10"/>
  <c r="N101" i="10"/>
  <c r="N102" i="10" s="1"/>
  <c r="W101" i="10" l="1"/>
  <c r="T102" i="10"/>
  <c r="U102" i="10" s="1"/>
  <c r="X102" i="10" s="1"/>
  <c r="O101" i="10"/>
  <c r="V101" i="10" s="1"/>
  <c r="Y101" i="10" s="1"/>
  <c r="L102" i="10"/>
  <c r="M102" i="10"/>
  <c r="K102" i="10"/>
  <c r="W102" i="10" s="1"/>
  <c r="K103" i="10" l="1"/>
  <c r="T103" i="10"/>
  <c r="U103" i="10" s="1"/>
  <c r="X103" i="10" s="1"/>
  <c r="O102" i="10"/>
  <c r="V102" i="10" s="1"/>
  <c r="Y102" i="10" s="1"/>
  <c r="L103" i="10"/>
  <c r="M103" i="10"/>
  <c r="N103" i="10"/>
  <c r="N104" i="10" s="1"/>
  <c r="W104" i="10" s="1"/>
  <c r="W103" i="10" l="1"/>
  <c r="O104" i="10"/>
  <c r="V104" i="10" s="1"/>
  <c r="Y104" i="10" s="1"/>
  <c r="T105" i="10"/>
  <c r="T104" i="10"/>
  <c r="U104" i="10" s="1"/>
  <c r="O103" i="10"/>
  <c r="V103" i="10" s="1"/>
  <c r="Y103" i="10" s="1"/>
  <c r="N105" i="10"/>
  <c r="M105" i="10"/>
  <c r="L105" i="10"/>
  <c r="K105" i="10"/>
  <c r="U105" i="10" l="1"/>
  <c r="X105" i="10" s="1"/>
  <c r="X104" i="10"/>
  <c r="W105" i="10"/>
  <c r="K106" i="10"/>
  <c r="O105" i="10"/>
  <c r="V105" i="10" s="1"/>
  <c r="Y105" i="10" s="1"/>
  <c r="T106" i="10"/>
  <c r="U106" i="10" s="1"/>
  <c r="X106" i="10" s="1"/>
  <c r="L106" i="10"/>
  <c r="M106" i="10"/>
  <c r="N106" i="10"/>
  <c r="W106" i="10" l="1"/>
  <c r="N107" i="10"/>
  <c r="T107" i="10"/>
  <c r="U107" i="10" s="1"/>
  <c r="X107" i="10" s="1"/>
  <c r="O106" i="10"/>
  <c r="V106" i="10" s="1"/>
  <c r="Y106" i="10" s="1"/>
  <c r="L107" i="10"/>
  <c r="M107" i="10"/>
  <c r="K107" i="10"/>
  <c r="W107" i="10" s="1"/>
  <c r="K108" i="10" l="1"/>
  <c r="T108" i="10"/>
  <c r="U108" i="10" s="1"/>
  <c r="X108" i="10" s="1"/>
  <c r="O107" i="10"/>
  <c r="V107" i="10" s="1"/>
  <c r="Y107" i="10" s="1"/>
  <c r="N108" i="10"/>
  <c r="M108" i="10"/>
  <c r="L108" i="10"/>
  <c r="W108" i="10" l="1"/>
  <c r="L109" i="10"/>
  <c r="T109" i="10"/>
  <c r="U109" i="10" s="1"/>
  <c r="X109" i="10" s="1"/>
  <c r="O108" i="10"/>
  <c r="V108" i="10" s="1"/>
  <c r="Y108" i="10" s="1"/>
  <c r="N109" i="10"/>
  <c r="M109" i="10"/>
  <c r="K109" i="10"/>
  <c r="W109" i="10" s="1"/>
  <c r="K110" i="10" l="1"/>
  <c r="T110" i="10"/>
  <c r="U110" i="10" s="1"/>
  <c r="X110" i="10" s="1"/>
  <c r="O109" i="10"/>
  <c r="V109" i="10" s="1"/>
  <c r="Y109" i="10" s="1"/>
  <c r="M110" i="10"/>
  <c r="N110" i="10"/>
  <c r="L110" i="10"/>
  <c r="L111" i="10" s="1"/>
  <c r="W110" i="10" l="1"/>
  <c r="T111" i="10"/>
  <c r="U111" i="10" s="1"/>
  <c r="X111" i="10" s="1"/>
  <c r="O110" i="10"/>
  <c r="V110" i="10" s="1"/>
  <c r="Y110" i="10" s="1"/>
  <c r="N111" i="10"/>
  <c r="M111" i="10"/>
  <c r="K111" i="10"/>
  <c r="W111" i="10" s="1"/>
  <c r="K112" i="10" l="1"/>
  <c r="T112" i="10"/>
  <c r="U112" i="10" s="1"/>
  <c r="X112" i="10" s="1"/>
  <c r="O111" i="10"/>
  <c r="V111" i="10" s="1"/>
  <c r="Y111" i="10" s="1"/>
  <c r="M112" i="10"/>
  <c r="N112" i="10"/>
  <c r="L112" i="10"/>
  <c r="L113" i="10" s="1"/>
  <c r="N113" i="10" l="1"/>
  <c r="W112" i="10"/>
  <c r="T113" i="10"/>
  <c r="U113" i="10" s="1"/>
  <c r="X113" i="10" s="1"/>
  <c r="O112" i="10"/>
  <c r="V112" i="10" s="1"/>
  <c r="Y112" i="10" s="1"/>
  <c r="K113" i="10"/>
  <c r="M113" i="10"/>
  <c r="M114" i="10" s="1"/>
  <c r="W113" i="10" l="1"/>
  <c r="T114" i="10"/>
  <c r="U114" i="10" s="1"/>
  <c r="X114" i="10" s="1"/>
  <c r="O113" i="10"/>
  <c r="V113" i="10" s="1"/>
  <c r="Y113" i="10" s="1"/>
  <c r="L114" i="10"/>
  <c r="K114" i="10"/>
  <c r="N114" i="10"/>
  <c r="N115" i="10" s="1"/>
  <c r="W114" i="10" l="1"/>
  <c r="K115" i="10"/>
  <c r="T115" i="10"/>
  <c r="U115" i="10" s="1"/>
  <c r="X115" i="10" s="1"/>
  <c r="O114" i="10"/>
  <c r="V114" i="10" s="1"/>
  <c r="Y114" i="10" s="1"/>
  <c r="L115" i="10"/>
  <c r="M115" i="10"/>
  <c r="M116" i="10" s="1"/>
  <c r="W115" i="10" l="1"/>
  <c r="T116" i="10"/>
  <c r="U116" i="10" s="1"/>
  <c r="X116" i="10" s="1"/>
  <c r="O115" i="10"/>
  <c r="V115" i="10" s="1"/>
  <c r="Y115" i="10" s="1"/>
  <c r="L116" i="10"/>
  <c r="N116" i="10"/>
  <c r="N117" i="10" s="1"/>
  <c r="K116" i="10"/>
  <c r="W116" i="10" l="1"/>
  <c r="K117" i="10"/>
  <c r="T117" i="10"/>
  <c r="U117" i="10" s="1"/>
  <c r="X117" i="10" s="1"/>
  <c r="O116" i="10"/>
  <c r="V116" i="10" s="1"/>
  <c r="Y116" i="10" s="1"/>
  <c r="L117" i="10"/>
  <c r="M117" i="10"/>
  <c r="M118" i="10" s="1"/>
  <c r="W117" i="10" l="1"/>
  <c r="T118" i="10"/>
  <c r="U118" i="10" s="1"/>
  <c r="X118" i="10" s="1"/>
  <c r="O117" i="10"/>
  <c r="V117" i="10" s="1"/>
  <c r="Y117" i="10" s="1"/>
  <c r="L118" i="10"/>
  <c r="K118" i="10"/>
  <c r="N118" i="10"/>
  <c r="W118" i="10" l="1"/>
  <c r="K119" i="10"/>
  <c r="T119" i="10"/>
  <c r="U119" i="10" s="1"/>
  <c r="X119" i="10" s="1"/>
  <c r="O118" i="10"/>
  <c r="V118" i="10" s="1"/>
  <c r="Y118" i="10" s="1"/>
  <c r="N119" i="10"/>
  <c r="L119" i="10"/>
  <c r="M119" i="10"/>
  <c r="M120" i="10" s="1"/>
  <c r="W119" i="10" l="1"/>
  <c r="T120" i="10"/>
  <c r="U120" i="10" s="1"/>
  <c r="X120" i="10" s="1"/>
  <c r="O119" i="10"/>
  <c r="V119" i="10" s="1"/>
  <c r="Y119" i="10" s="1"/>
  <c r="N120" i="10"/>
  <c r="L120" i="10"/>
  <c r="K120" i="10"/>
  <c r="W120" i="10" s="1"/>
  <c r="L121" i="10" l="1"/>
  <c r="K121" i="10"/>
  <c r="T121" i="10"/>
  <c r="U121" i="10" s="1"/>
  <c r="X121" i="10" s="1"/>
  <c r="O120" i="10"/>
  <c r="V120" i="10" s="1"/>
  <c r="Y120" i="10" s="1"/>
  <c r="N121" i="10"/>
  <c r="M121" i="10"/>
  <c r="M122" i="10" l="1"/>
  <c r="W121" i="10"/>
  <c r="T122" i="10"/>
  <c r="U122" i="10" s="1"/>
  <c r="X122" i="10" s="1"/>
  <c r="O121" i="10"/>
  <c r="V121" i="10" s="1"/>
  <c r="Y121" i="10" s="1"/>
  <c r="N122" i="10"/>
  <c r="K122" i="10"/>
  <c r="L122" i="10"/>
  <c r="L123" i="10" s="1"/>
  <c r="W122" i="10" l="1"/>
  <c r="T123" i="10"/>
  <c r="U123" i="10" s="1"/>
  <c r="X123" i="10" s="1"/>
  <c r="O122" i="10"/>
  <c r="V122" i="10" s="1"/>
  <c r="Y122" i="10" s="1"/>
  <c r="N123" i="10"/>
  <c r="K123" i="10"/>
  <c r="M123" i="10"/>
  <c r="W123" i="10" l="1"/>
  <c r="L124" i="10"/>
  <c r="T124" i="10"/>
  <c r="U124" i="10" s="1"/>
  <c r="X124" i="10" s="1"/>
  <c r="O123" i="10"/>
  <c r="V123" i="10" s="1"/>
  <c r="Y123" i="10" s="1"/>
  <c r="M124" i="10"/>
  <c r="K124" i="10"/>
  <c r="N124" i="10"/>
  <c r="N125" i="10" l="1"/>
  <c r="W125" i="10" s="1"/>
  <c r="W124" i="10"/>
  <c r="T126" i="10"/>
  <c r="O125" i="10"/>
  <c r="V125" i="10" s="1"/>
  <c r="Y125" i="10" s="1"/>
  <c r="T125" i="10"/>
  <c r="U125" i="10" s="1"/>
  <c r="O124" i="10"/>
  <c r="V124" i="10" s="1"/>
  <c r="Y124" i="10" s="1"/>
  <c r="N126" i="10"/>
  <c r="M126" i="10"/>
  <c r="L126" i="10"/>
  <c r="K126" i="10"/>
  <c r="U126" i="10" l="1"/>
  <c r="X126" i="10" s="1"/>
  <c r="X125" i="10"/>
  <c r="W126" i="10"/>
  <c r="T127" i="10"/>
  <c r="U127" i="10" s="1"/>
  <c r="X127" i="10" s="1"/>
  <c r="O126" i="10"/>
  <c r="V126" i="10" s="1"/>
  <c r="Y126" i="10" s="1"/>
  <c r="M127" i="10"/>
  <c r="K127" i="10"/>
  <c r="L127" i="10"/>
  <c r="N127" i="10"/>
  <c r="W127" i="10" l="1"/>
  <c r="N128" i="10"/>
  <c r="O127" i="10"/>
  <c r="V127" i="10" s="1"/>
  <c r="Y127" i="10" s="1"/>
  <c r="T128" i="10"/>
  <c r="U128" i="10" s="1"/>
  <c r="X128" i="10" s="1"/>
  <c r="M128" i="10"/>
  <c r="K128" i="10"/>
  <c r="L128" i="10"/>
  <c r="L129" i="10" l="1"/>
  <c r="W128" i="10"/>
  <c r="T129" i="10"/>
  <c r="U129" i="10" s="1"/>
  <c r="X129" i="10" s="1"/>
  <c r="O128" i="10"/>
  <c r="V128" i="10" s="1"/>
  <c r="Y128" i="10" s="1"/>
  <c r="K129" i="10"/>
  <c r="N129" i="10"/>
  <c r="M129" i="10"/>
  <c r="M130" i="10" s="1"/>
  <c r="W129" i="10" l="1"/>
  <c r="T130" i="10"/>
  <c r="U130" i="10" s="1"/>
  <c r="X130" i="10" s="1"/>
  <c r="O129" i="10"/>
  <c r="V129" i="10" s="1"/>
  <c r="Y129" i="10" s="1"/>
  <c r="N130" i="10"/>
  <c r="K130" i="10"/>
  <c r="L130" i="10"/>
  <c r="L131" i="10" s="1"/>
  <c r="W130" i="10" l="1"/>
  <c r="K131" i="10"/>
  <c r="T131" i="10"/>
  <c r="U131" i="10" s="1"/>
  <c r="X131" i="10" s="1"/>
  <c r="O130" i="10"/>
  <c r="V130" i="10" s="1"/>
  <c r="Y130" i="10" s="1"/>
  <c r="N131" i="10"/>
  <c r="M131" i="10"/>
  <c r="M132" i="10" s="1"/>
  <c r="N132" i="10" l="1"/>
  <c r="W131" i="10"/>
  <c r="T132" i="10"/>
  <c r="U132" i="10" s="1"/>
  <c r="X132" i="10" s="1"/>
  <c r="O131" i="10"/>
  <c r="V131" i="10" s="1"/>
  <c r="Y131" i="10" s="1"/>
  <c r="L132" i="10"/>
  <c r="K132" i="10"/>
  <c r="W132" i="10" s="1"/>
  <c r="K133" i="10" l="1"/>
  <c r="T133" i="10"/>
  <c r="U133" i="10" s="1"/>
  <c r="X133" i="10" s="1"/>
  <c r="O132" i="10"/>
  <c r="V132" i="10" s="1"/>
  <c r="Y132" i="10" s="1"/>
  <c r="L133" i="10"/>
  <c r="N133" i="10"/>
  <c r="M133" i="10"/>
  <c r="N134" i="10" l="1"/>
  <c r="M134" i="10"/>
  <c r="W133" i="10"/>
  <c r="T134" i="10"/>
  <c r="U134" i="10" s="1"/>
  <c r="X134" i="10" s="1"/>
  <c r="O133" i="10"/>
  <c r="V133" i="10" s="1"/>
  <c r="Y133" i="10" s="1"/>
  <c r="L134" i="10"/>
  <c r="K134" i="10"/>
  <c r="W134" i="10" s="1"/>
  <c r="K135" i="10" l="1"/>
  <c r="T135" i="10"/>
  <c r="U135" i="10" s="1"/>
  <c r="X135" i="10" s="1"/>
  <c r="O134" i="10"/>
  <c r="V134" i="10" s="1"/>
  <c r="Y134" i="10" s="1"/>
  <c r="L135" i="10"/>
  <c r="M135" i="10"/>
  <c r="N135" i="10"/>
  <c r="N136" i="10" l="1"/>
  <c r="W135" i="10"/>
  <c r="M136" i="10"/>
  <c r="T136" i="10"/>
  <c r="U136" i="10" s="1"/>
  <c r="X136" i="10" s="1"/>
  <c r="O135" i="10"/>
  <c r="V135" i="10" s="1"/>
  <c r="Y135" i="10" s="1"/>
  <c r="L136" i="10"/>
  <c r="K136" i="10"/>
  <c r="W136" i="10" l="1"/>
  <c r="K137" i="10"/>
  <c r="T137" i="10"/>
  <c r="U137" i="10" s="1"/>
  <c r="X137" i="10" s="1"/>
  <c r="O136" i="10"/>
  <c r="V136" i="10" s="1"/>
  <c r="Y136" i="10" s="1"/>
  <c r="L137" i="10"/>
  <c r="M137" i="10"/>
  <c r="N137" i="10"/>
  <c r="N138" i="10" s="1"/>
  <c r="M138" i="10" l="1"/>
  <c r="W137" i="10"/>
  <c r="T138" i="10"/>
  <c r="U138" i="10" s="1"/>
  <c r="X138" i="10" s="1"/>
  <c r="O137" i="10"/>
  <c r="V137" i="10" s="1"/>
  <c r="Y137" i="10" s="1"/>
  <c r="L138" i="10"/>
  <c r="K138" i="10"/>
  <c r="W138" i="10" s="1"/>
  <c r="M139" i="10" l="1"/>
  <c r="T139" i="10"/>
  <c r="U139" i="10" s="1"/>
  <c r="X139" i="10" s="1"/>
  <c r="O138" i="10"/>
  <c r="V138" i="10" s="1"/>
  <c r="Y138" i="10" s="1"/>
  <c r="K139" i="10"/>
  <c r="L139" i="10"/>
  <c r="N139" i="10"/>
  <c r="W139" i="10" l="1"/>
  <c r="N140" i="10"/>
  <c r="T140" i="10"/>
  <c r="U140" i="10" s="1"/>
  <c r="X140" i="10" s="1"/>
  <c r="O139" i="10"/>
  <c r="V139" i="10" s="1"/>
  <c r="Y139" i="10" s="1"/>
  <c r="L140" i="10"/>
  <c r="K140" i="10"/>
  <c r="M140" i="10"/>
  <c r="W140" i="10" l="1"/>
  <c r="N141" i="10"/>
  <c r="T141" i="10"/>
  <c r="U141" i="10" s="1"/>
  <c r="X141" i="10" s="1"/>
  <c r="O140" i="10"/>
  <c r="V140" i="10" s="1"/>
  <c r="Y140" i="10" s="1"/>
  <c r="M141" i="10"/>
  <c r="K141" i="10"/>
  <c r="L141" i="10"/>
  <c r="W141" i="10" l="1"/>
  <c r="T142" i="10"/>
  <c r="U142" i="10" s="1"/>
  <c r="X142" i="10" s="1"/>
  <c r="O141" i="10"/>
  <c r="V141" i="10" s="1"/>
  <c r="Y141" i="10" s="1"/>
  <c r="L142" i="10"/>
  <c r="K142" i="10"/>
  <c r="M142" i="10"/>
  <c r="N142" i="10"/>
  <c r="N143" i="10" s="1"/>
  <c r="W142" i="10" l="1"/>
  <c r="T143" i="10"/>
  <c r="U143" i="10" s="1"/>
  <c r="X143" i="10" s="1"/>
  <c r="O142" i="10"/>
  <c r="V142" i="10" s="1"/>
  <c r="Y142" i="10" s="1"/>
  <c r="M143" i="10"/>
  <c r="K143" i="10"/>
  <c r="W143" i="10" s="1"/>
  <c r="L143" i="10"/>
  <c r="L144" i="10" s="1"/>
  <c r="T144" i="10" l="1"/>
  <c r="U144" i="10" s="1"/>
  <c r="X144" i="10" s="1"/>
  <c r="O143" i="10"/>
  <c r="V143" i="10" s="1"/>
  <c r="Y143" i="10" s="1"/>
  <c r="K144" i="10"/>
  <c r="N144" i="10"/>
  <c r="M144" i="10"/>
  <c r="W144" i="10" l="1"/>
  <c r="T145" i="10"/>
  <c r="U145" i="10" s="1"/>
  <c r="X145" i="10" s="1"/>
  <c r="O144" i="10"/>
  <c r="V144" i="10" s="1"/>
  <c r="Y144" i="10" s="1"/>
  <c r="N145" i="10"/>
  <c r="W145" i="10" s="1"/>
  <c r="T146" i="10" l="1"/>
  <c r="U146" i="10" s="1"/>
  <c r="X146" i="10" s="1"/>
  <c r="O145" i="10"/>
  <c r="V145" i="10" s="1"/>
  <c r="Y145" i="10" s="1"/>
  <c r="N146" i="10"/>
  <c r="L146" i="10"/>
  <c r="M146" i="10"/>
  <c r="K146" i="10"/>
  <c r="W146" i="10" s="1"/>
  <c r="T147" i="10" l="1"/>
  <c r="U147" i="10" s="1"/>
  <c r="X147" i="10" s="1"/>
  <c r="O146" i="10"/>
  <c r="V146" i="10" s="1"/>
  <c r="Y146" i="10" s="1"/>
  <c r="M147" i="10"/>
  <c r="K147" i="10"/>
  <c r="L147" i="10"/>
  <c r="N147" i="10"/>
  <c r="N148" i="10" l="1"/>
  <c r="W147" i="10"/>
  <c r="T148" i="10"/>
  <c r="U148" i="10" s="1"/>
  <c r="X148" i="10" s="1"/>
  <c r="O147" i="10"/>
  <c r="V147" i="10" s="1"/>
  <c r="Y147" i="10" s="1"/>
  <c r="M148" i="10"/>
  <c r="K148" i="10"/>
  <c r="L148" i="10"/>
  <c r="W148" i="10" l="1"/>
  <c r="L149" i="10"/>
  <c r="T149" i="10"/>
  <c r="U149" i="10" s="1"/>
  <c r="X149" i="10" s="1"/>
  <c r="O148" i="10"/>
  <c r="V148" i="10" s="1"/>
  <c r="Y148" i="10" s="1"/>
  <c r="K149" i="10"/>
  <c r="M149" i="10"/>
  <c r="N149" i="10"/>
  <c r="N150" i="10" s="1"/>
  <c r="W149" i="10" l="1"/>
  <c r="T150" i="10"/>
  <c r="U150" i="10" s="1"/>
  <c r="X150" i="10" s="1"/>
  <c r="O149" i="10"/>
  <c r="V149" i="10" s="1"/>
  <c r="Y149" i="10" s="1"/>
  <c r="M150" i="10"/>
  <c r="K150" i="10"/>
  <c r="L150" i="10"/>
  <c r="W150" i="10" l="1"/>
  <c r="K151" i="10"/>
  <c r="T151" i="10"/>
  <c r="U151" i="10" s="1"/>
  <c r="X151" i="10" s="1"/>
  <c r="O150" i="10"/>
  <c r="V150" i="10" s="1"/>
  <c r="Y150" i="10" s="1"/>
  <c r="M151" i="10"/>
  <c r="L151" i="10"/>
  <c r="N151" i="10"/>
  <c r="N152" i="10" l="1"/>
  <c r="L152" i="10"/>
  <c r="W151" i="10"/>
  <c r="O151" i="10"/>
  <c r="V151" i="10" s="1"/>
  <c r="Y151" i="10" s="1"/>
  <c r="T152" i="10"/>
  <c r="U152" i="10" s="1"/>
  <c r="X152" i="10" s="1"/>
  <c r="M152" i="10"/>
  <c r="K152" i="10"/>
  <c r="W152" i="10" l="1"/>
  <c r="K153" i="10"/>
  <c r="O152" i="10"/>
  <c r="V152" i="10" s="1"/>
  <c r="Y152" i="10" s="1"/>
  <c r="T153" i="10"/>
  <c r="U153" i="10" s="1"/>
  <c r="X153" i="10" s="1"/>
  <c r="M153" i="10"/>
  <c r="N153" i="10"/>
  <c r="L153" i="10"/>
  <c r="L154" i="10" s="1"/>
  <c r="W153" i="10" l="1"/>
  <c r="N154" i="10"/>
  <c r="T154" i="10"/>
  <c r="U154" i="10" s="1"/>
  <c r="X154" i="10" s="1"/>
  <c r="O153" i="10"/>
  <c r="V153" i="10" s="1"/>
  <c r="Y153" i="10" s="1"/>
  <c r="M154" i="10"/>
  <c r="K154" i="10"/>
  <c r="W154" i="10" s="1"/>
  <c r="K155" i="10" l="1"/>
  <c r="T155" i="10"/>
  <c r="U155" i="10" s="1"/>
  <c r="X155" i="10" s="1"/>
  <c r="O154" i="10"/>
  <c r="V154" i="10" s="1"/>
  <c r="Y154" i="10" s="1"/>
  <c r="M155" i="10"/>
  <c r="L155" i="10"/>
  <c r="N155" i="10"/>
  <c r="N156" i="10" s="1"/>
  <c r="L156" i="10" l="1"/>
  <c r="W155" i="10"/>
  <c r="T156" i="10"/>
  <c r="U156" i="10" s="1"/>
  <c r="X156" i="10" s="1"/>
  <c r="O155" i="10"/>
  <c r="V155" i="10" s="1"/>
  <c r="Y155" i="10" s="1"/>
  <c r="M156" i="10"/>
  <c r="K156" i="10"/>
  <c r="W156" i="10" l="1"/>
  <c r="K157" i="10"/>
  <c r="T157" i="10"/>
  <c r="U157" i="10" s="1"/>
  <c r="X157" i="10" s="1"/>
  <c r="O156" i="10"/>
  <c r="V156" i="10" s="1"/>
  <c r="Y156" i="10" s="1"/>
  <c r="M157" i="10"/>
  <c r="N157" i="10"/>
  <c r="L157" i="10"/>
  <c r="L158" i="10" s="1"/>
  <c r="W157" i="10" l="1"/>
  <c r="N158" i="10"/>
  <c r="T158" i="10"/>
  <c r="U158" i="10" s="1"/>
  <c r="X158" i="10" s="1"/>
  <c r="O157" i="10"/>
  <c r="V157" i="10" s="1"/>
  <c r="Y157" i="10" s="1"/>
  <c r="M158" i="10"/>
  <c r="K158" i="10"/>
  <c r="W158" i="10" s="1"/>
  <c r="K159" i="10" l="1"/>
  <c r="T159" i="10"/>
  <c r="U159" i="10" s="1"/>
  <c r="X159" i="10" s="1"/>
  <c r="O158" i="10"/>
  <c r="V158" i="10" s="1"/>
  <c r="Y158" i="10" s="1"/>
  <c r="M159" i="10"/>
  <c r="L159" i="10"/>
  <c r="N159" i="10"/>
  <c r="N160" i="10" s="1"/>
  <c r="W159" i="10" l="1"/>
  <c r="T160" i="10"/>
  <c r="U160" i="10" s="1"/>
  <c r="X160" i="10" s="1"/>
  <c r="O159" i="10"/>
  <c r="V159" i="10" s="1"/>
  <c r="Y159" i="10" s="1"/>
  <c r="L160" i="10"/>
  <c r="M160" i="10"/>
  <c r="K160" i="10"/>
  <c r="W160" i="10" s="1"/>
  <c r="M161" i="10" l="1"/>
  <c r="K161" i="10"/>
  <c r="T161" i="10"/>
  <c r="U161" i="10" s="1"/>
  <c r="X161" i="10" s="1"/>
  <c r="O160" i="10"/>
  <c r="V160" i="10" s="1"/>
  <c r="Y160" i="10" s="1"/>
  <c r="L161" i="10"/>
  <c r="N161" i="10"/>
  <c r="W161" i="10" l="1"/>
  <c r="N162" i="10"/>
  <c r="T162" i="10"/>
  <c r="U162" i="10" s="1"/>
  <c r="X162" i="10" s="1"/>
  <c r="O161" i="10"/>
  <c r="V161" i="10" s="1"/>
  <c r="Y161" i="10" s="1"/>
  <c r="L162" i="10"/>
  <c r="K162" i="10"/>
  <c r="M162" i="10"/>
  <c r="M163" i="10" s="1"/>
  <c r="W162" i="10" l="1"/>
  <c r="K163" i="10"/>
  <c r="T163" i="10"/>
  <c r="U163" i="10" s="1"/>
  <c r="X163" i="10" s="1"/>
  <c r="O162" i="10"/>
  <c r="V162" i="10" s="1"/>
  <c r="Y162" i="10" s="1"/>
  <c r="L163" i="10"/>
  <c r="N163" i="10"/>
  <c r="N164" i="10" s="1"/>
  <c r="W163" i="10" l="1"/>
  <c r="T164" i="10"/>
  <c r="U164" i="10" s="1"/>
  <c r="X164" i="10" s="1"/>
  <c r="O163" i="10"/>
  <c r="V163" i="10" s="1"/>
  <c r="Y163" i="10" s="1"/>
  <c r="L164" i="10"/>
  <c r="M164" i="10"/>
  <c r="K164" i="10"/>
  <c r="W164" i="10" s="1"/>
  <c r="M165" i="10" l="1"/>
  <c r="K165" i="10"/>
  <c r="T165" i="10"/>
  <c r="U165" i="10" s="1"/>
  <c r="X165" i="10" s="1"/>
  <c r="O164" i="10"/>
  <c r="V164" i="10" s="1"/>
  <c r="Y164" i="10" s="1"/>
  <c r="L165" i="10"/>
  <c r="N165" i="10"/>
  <c r="N166" i="10" s="1"/>
  <c r="W165" i="10" l="1"/>
  <c r="T166" i="10"/>
  <c r="U166" i="10" s="1"/>
  <c r="X166" i="10" s="1"/>
  <c r="O165" i="10"/>
  <c r="V165" i="10" s="1"/>
  <c r="Y165" i="10" s="1"/>
  <c r="L166" i="10"/>
  <c r="K166" i="10"/>
  <c r="M166" i="10"/>
  <c r="M167" i="10" s="1"/>
  <c r="W166" i="10" l="1"/>
  <c r="T167" i="10"/>
  <c r="U167" i="10" s="1"/>
  <c r="X167" i="10" s="1"/>
  <c r="O166" i="10"/>
  <c r="V166" i="10" s="1"/>
  <c r="Y166" i="10" s="1"/>
  <c r="K167" i="10"/>
  <c r="L167" i="10"/>
  <c r="N167" i="10"/>
  <c r="W167" i="10" l="1"/>
  <c r="T168" i="10"/>
  <c r="U168" i="10" s="1"/>
  <c r="X168" i="10" s="1"/>
  <c r="O167" i="10"/>
  <c r="V167" i="10" s="1"/>
  <c r="Y167" i="10" s="1"/>
  <c r="N168" i="10"/>
  <c r="W168" i="10" s="1"/>
  <c r="T169" i="10" l="1"/>
  <c r="U169" i="10" s="1"/>
  <c r="X169" i="10" s="1"/>
  <c r="O168" i="10"/>
  <c r="V168" i="10" s="1"/>
  <c r="Y168" i="10" s="1"/>
  <c r="N169" i="10"/>
  <c r="M169" i="10"/>
  <c r="L169" i="10"/>
  <c r="K169" i="10"/>
  <c r="W169" i="10" s="1"/>
  <c r="L170" i="10" l="1"/>
  <c r="K170" i="10"/>
  <c r="T170" i="10"/>
  <c r="U170" i="10" s="1"/>
  <c r="X170" i="10" s="1"/>
  <c r="O169" i="10"/>
  <c r="V169" i="10" s="1"/>
  <c r="Y169" i="10" s="1"/>
  <c r="M170" i="10"/>
  <c r="N170" i="10"/>
  <c r="N171" i="10" s="1"/>
  <c r="W170" i="10" l="1"/>
  <c r="T171" i="10"/>
  <c r="U171" i="10" s="1"/>
  <c r="X171" i="10" s="1"/>
  <c r="O170" i="10"/>
  <c r="V170" i="10" s="1"/>
  <c r="Y170" i="10" s="1"/>
  <c r="K171" i="10"/>
  <c r="M171" i="10"/>
  <c r="L171" i="10"/>
  <c r="L172" i="10" s="1"/>
  <c r="W171" i="10" l="1"/>
  <c r="M172" i="10"/>
  <c r="T172" i="10"/>
  <c r="U172" i="10" s="1"/>
  <c r="X172" i="10" s="1"/>
  <c r="O171" i="10"/>
  <c r="V171" i="10" s="1"/>
  <c r="Y171" i="10" s="1"/>
  <c r="K172" i="10"/>
  <c r="N172" i="10"/>
  <c r="W172" i="10" l="1"/>
  <c r="T173" i="10"/>
  <c r="U173" i="10" s="1"/>
  <c r="X173" i="10" s="1"/>
  <c r="O172" i="10"/>
  <c r="V172" i="10" s="1"/>
  <c r="Y172" i="10" s="1"/>
  <c r="N173" i="10"/>
  <c r="K173" i="10"/>
  <c r="L173" i="10"/>
  <c r="M173" i="10"/>
  <c r="M174" i="10" s="1"/>
  <c r="W173" i="10" l="1"/>
  <c r="L174" i="10"/>
  <c r="T174" i="10"/>
  <c r="U174" i="10" s="1"/>
  <c r="X174" i="10" s="1"/>
  <c r="O173" i="10"/>
  <c r="V173" i="10" s="1"/>
  <c r="Y173" i="10" s="1"/>
  <c r="K174" i="10"/>
  <c r="N174" i="10"/>
  <c r="W174" i="10" l="1"/>
  <c r="T175" i="10"/>
  <c r="U175" i="10" s="1"/>
  <c r="X175" i="10" s="1"/>
  <c r="O174" i="10"/>
  <c r="V174" i="10" s="1"/>
  <c r="Y174" i="10" s="1"/>
  <c r="N175" i="10"/>
  <c r="K175" i="10"/>
  <c r="M175" i="10"/>
  <c r="L175" i="10"/>
  <c r="L176" i="10" s="1"/>
  <c r="W175" i="10" l="1"/>
  <c r="T176" i="10"/>
  <c r="U176" i="10" s="1"/>
  <c r="X176" i="10" s="1"/>
  <c r="O175" i="10"/>
  <c r="V175" i="10" s="1"/>
  <c r="Y175" i="10" s="1"/>
  <c r="M176" i="10"/>
  <c r="K176" i="10"/>
  <c r="W176" i="10" s="1"/>
  <c r="N176" i="10"/>
  <c r="N177" i="10" s="1"/>
  <c r="T177" i="10" l="1"/>
  <c r="U177" i="10" s="1"/>
  <c r="X177" i="10" s="1"/>
  <c r="O176" i="10"/>
  <c r="V176" i="10" s="1"/>
  <c r="Y176" i="10" s="1"/>
  <c r="K177" i="10"/>
  <c r="M177" i="10"/>
  <c r="L177" i="10"/>
  <c r="L178" i="10" s="1"/>
  <c r="M178" i="10" l="1"/>
  <c r="W177" i="10"/>
  <c r="T178" i="10"/>
  <c r="U178" i="10" s="1"/>
  <c r="X178" i="10" s="1"/>
  <c r="O177" i="10"/>
  <c r="V177" i="10" s="1"/>
  <c r="Y177" i="10" s="1"/>
  <c r="K178" i="10"/>
  <c r="N178" i="10"/>
  <c r="N179" i="10" s="1"/>
  <c r="W178" i="10" l="1"/>
  <c r="K179" i="10"/>
  <c r="T179" i="10"/>
  <c r="U179" i="10" s="1"/>
  <c r="X179" i="10" s="1"/>
  <c r="O178" i="10"/>
  <c r="V178" i="10" s="1"/>
  <c r="Y178" i="10" s="1"/>
  <c r="L179" i="10"/>
  <c r="M179" i="10"/>
  <c r="M180" i="10" s="1"/>
  <c r="W179" i="10" l="1"/>
  <c r="T180" i="10"/>
  <c r="U180" i="10" s="1"/>
  <c r="X180" i="10" s="1"/>
  <c r="O179" i="10"/>
  <c r="V179" i="10" s="1"/>
  <c r="Y179" i="10" s="1"/>
  <c r="N180" i="10"/>
  <c r="L180" i="10"/>
  <c r="K180" i="10"/>
  <c r="W180" i="10" s="1"/>
  <c r="K181" i="10" l="1"/>
  <c r="T181" i="10"/>
  <c r="U181" i="10" s="1"/>
  <c r="X181" i="10" s="1"/>
  <c r="O180" i="10"/>
  <c r="V180" i="10" s="1"/>
  <c r="Y180" i="10" s="1"/>
  <c r="L181" i="10"/>
  <c r="N181" i="10"/>
  <c r="N182" i="10" s="1"/>
  <c r="M181" i="10"/>
  <c r="M182" i="10" s="1"/>
  <c r="W181" i="10" l="1"/>
  <c r="T182" i="10"/>
  <c r="U182" i="10" s="1"/>
  <c r="X182" i="10" s="1"/>
  <c r="O181" i="10"/>
  <c r="V181" i="10" s="1"/>
  <c r="Y181" i="10" s="1"/>
  <c r="L182" i="10"/>
  <c r="K182" i="10"/>
  <c r="W182" i="10" s="1"/>
  <c r="K183" i="10" l="1"/>
  <c r="T183" i="10"/>
  <c r="U183" i="10" s="1"/>
  <c r="X183" i="10" s="1"/>
  <c r="O182" i="10"/>
  <c r="V182" i="10" s="1"/>
  <c r="Y182" i="10" s="1"/>
  <c r="L183" i="10"/>
  <c r="M183" i="10"/>
  <c r="M184" i="10" s="1"/>
  <c r="N183" i="10"/>
  <c r="N184" i="10" s="1"/>
  <c r="W183" i="10" l="1"/>
  <c r="T184" i="10"/>
  <c r="U184" i="10" s="1"/>
  <c r="X184" i="10" s="1"/>
  <c r="O183" i="10"/>
  <c r="V183" i="10" s="1"/>
  <c r="Y183" i="10" s="1"/>
  <c r="L184" i="10"/>
  <c r="K184" i="10"/>
  <c r="W184" i="10" l="1"/>
  <c r="K185" i="10"/>
  <c r="T185" i="10"/>
  <c r="U185" i="10" s="1"/>
  <c r="X185" i="10" s="1"/>
  <c r="O184" i="10"/>
  <c r="V184" i="10" s="1"/>
  <c r="Y184" i="10" s="1"/>
  <c r="L185" i="10"/>
  <c r="N185" i="10"/>
  <c r="M185" i="10"/>
  <c r="M186" i="10" s="1"/>
  <c r="W185" i="10" l="1"/>
  <c r="T186" i="10"/>
  <c r="U186" i="10" s="1"/>
  <c r="X186" i="10" s="1"/>
  <c r="O185" i="10"/>
  <c r="V185" i="10" s="1"/>
  <c r="Y185" i="10" s="1"/>
  <c r="N186" i="10"/>
  <c r="L186" i="10"/>
  <c r="K186" i="10"/>
  <c r="W186" i="10" s="1"/>
  <c r="L187" i="10" l="1"/>
  <c r="K187" i="10"/>
  <c r="T187" i="10"/>
  <c r="U187" i="10" s="1"/>
  <c r="X187" i="10" s="1"/>
  <c r="O186" i="10"/>
  <c r="V186" i="10" s="1"/>
  <c r="Y186" i="10" s="1"/>
  <c r="M187" i="10"/>
  <c r="N187" i="10"/>
  <c r="N188" i="10" l="1"/>
  <c r="W188" i="10" s="1"/>
  <c r="W187" i="10"/>
  <c r="O188" i="10"/>
  <c r="V188" i="10" s="1"/>
  <c r="Y188" i="10" s="1"/>
  <c r="T189" i="10"/>
  <c r="T188" i="10"/>
  <c r="U188" i="10" s="1"/>
  <c r="O187" i="10"/>
  <c r="V187" i="10" s="1"/>
  <c r="Y187" i="10" s="1"/>
  <c r="N189" i="10"/>
  <c r="L189" i="10"/>
  <c r="M189" i="10"/>
  <c r="K189" i="10"/>
  <c r="U189" i="10" l="1"/>
  <c r="X189" i="10" s="1"/>
  <c r="X188" i="10"/>
  <c r="W189" i="10"/>
  <c r="T190" i="10"/>
  <c r="U190" i="10" s="1"/>
  <c r="X190" i="10" s="1"/>
  <c r="O189" i="10"/>
  <c r="V189" i="10" s="1"/>
  <c r="Y189" i="10" s="1"/>
  <c r="M190" i="10"/>
  <c r="K190" i="10"/>
  <c r="L190" i="10"/>
  <c r="N190" i="10"/>
  <c r="W190" i="10" l="1"/>
  <c r="N191" i="10"/>
  <c r="T191" i="10"/>
  <c r="U191" i="10" s="1"/>
  <c r="X191" i="10" s="1"/>
  <c r="O190" i="10"/>
  <c r="V190" i="10" s="1"/>
  <c r="Y190" i="10" s="1"/>
  <c r="K191" i="10"/>
  <c r="L191" i="10"/>
  <c r="M191" i="10"/>
  <c r="M192" i="10" l="1"/>
  <c r="N192" i="10"/>
  <c r="W191" i="10"/>
  <c r="T192" i="10"/>
  <c r="U192" i="10" s="1"/>
  <c r="X192" i="10" s="1"/>
  <c r="O191" i="10"/>
  <c r="V191" i="10" s="1"/>
  <c r="Y191" i="10" s="1"/>
  <c r="L192" i="10"/>
  <c r="K192" i="10"/>
  <c r="W192" i="10" s="1"/>
  <c r="T193" i="10" l="1"/>
  <c r="U193" i="10" s="1"/>
  <c r="X193" i="10" s="1"/>
  <c r="O192" i="10"/>
  <c r="V192" i="10" s="1"/>
  <c r="Y192" i="10" s="1"/>
  <c r="M193" i="10"/>
  <c r="K193" i="10"/>
  <c r="L193" i="10"/>
  <c r="N193" i="10"/>
  <c r="W193" i="10" l="1"/>
  <c r="N194" i="10"/>
  <c r="T194" i="10"/>
  <c r="U194" i="10" s="1"/>
  <c r="X194" i="10" s="1"/>
  <c r="O193" i="10"/>
  <c r="V193" i="10" s="1"/>
  <c r="Y193" i="10" s="1"/>
  <c r="K194" i="10"/>
  <c r="L194" i="10"/>
  <c r="M194" i="10"/>
  <c r="W194" i="10" l="1"/>
  <c r="T195" i="10"/>
  <c r="U195" i="10" s="1"/>
  <c r="X195" i="10" s="1"/>
  <c r="O194" i="10"/>
  <c r="V194" i="10" s="1"/>
  <c r="Y194" i="10" s="1"/>
  <c r="L195" i="10"/>
  <c r="M195" i="10"/>
  <c r="K195" i="10"/>
  <c r="W195" i="10" s="1"/>
  <c r="N195" i="10"/>
  <c r="N196" i="10" l="1"/>
  <c r="K196" i="10"/>
  <c r="T196" i="10"/>
  <c r="U196" i="10" s="1"/>
  <c r="X196" i="10" s="1"/>
  <c r="O195" i="10"/>
  <c r="V195" i="10" s="1"/>
  <c r="Y195" i="10" s="1"/>
  <c r="M196" i="10"/>
  <c r="L196" i="10"/>
  <c r="L197" i="10" s="1"/>
  <c r="W196" i="10" l="1"/>
  <c r="T197" i="10"/>
  <c r="U197" i="10" s="1"/>
  <c r="X197" i="10" s="1"/>
  <c r="O196" i="10"/>
  <c r="V196" i="10" s="1"/>
  <c r="Y196" i="10" s="1"/>
  <c r="M197" i="10"/>
  <c r="N197" i="10"/>
  <c r="N198" i="10" s="1"/>
  <c r="K197" i="10"/>
  <c r="W197" i="10" l="1"/>
  <c r="K198" i="10"/>
  <c r="T198" i="10"/>
  <c r="U198" i="10" s="1"/>
  <c r="X198" i="10" s="1"/>
  <c r="O197" i="10"/>
  <c r="V197" i="10" s="1"/>
  <c r="Y197" i="10" s="1"/>
  <c r="M198" i="10"/>
  <c r="L198" i="10"/>
  <c r="L199" i="10" s="1"/>
  <c r="W198" i="10" l="1"/>
  <c r="O198" i="10"/>
  <c r="V198" i="10" s="1"/>
  <c r="Y198" i="10" s="1"/>
  <c r="T199" i="10"/>
  <c r="U199" i="10" s="1"/>
  <c r="X199" i="10" s="1"/>
  <c r="M199" i="10"/>
  <c r="K199" i="10"/>
  <c r="N199" i="10"/>
  <c r="N200" i="10" s="1"/>
  <c r="W199" i="10" l="1"/>
  <c r="K200" i="10"/>
  <c r="T200" i="10"/>
  <c r="U200" i="10" s="1"/>
  <c r="X200" i="10" s="1"/>
  <c r="O199" i="10"/>
  <c r="V199" i="10" s="1"/>
  <c r="Y199" i="10" s="1"/>
  <c r="M200" i="10"/>
  <c r="M201" i="10" s="1"/>
  <c r="L200" i="10"/>
  <c r="L201" i="10" l="1"/>
  <c r="W200" i="10"/>
  <c r="T201" i="10"/>
  <c r="U201" i="10" s="1"/>
  <c r="X201" i="10" s="1"/>
  <c r="O200" i="10"/>
  <c r="V200" i="10" s="1"/>
  <c r="Y200" i="10" s="1"/>
  <c r="N201" i="10"/>
  <c r="K201" i="10"/>
  <c r="W201" i="10" l="1"/>
  <c r="K202" i="10"/>
  <c r="T202" i="10"/>
  <c r="U202" i="10" s="1"/>
  <c r="X202" i="10" s="1"/>
  <c r="O201" i="10"/>
  <c r="V201" i="10" s="1"/>
  <c r="Y201" i="10" s="1"/>
  <c r="N202" i="10"/>
  <c r="L202" i="10"/>
  <c r="M202" i="10"/>
  <c r="M203" i="10" l="1"/>
  <c r="W202" i="10"/>
  <c r="T203" i="10"/>
  <c r="U203" i="10" s="1"/>
  <c r="X203" i="10" s="1"/>
  <c r="O202" i="10"/>
  <c r="V202" i="10" s="1"/>
  <c r="Y202" i="10" s="1"/>
  <c r="L203" i="10"/>
  <c r="N203" i="10"/>
  <c r="K203" i="10"/>
  <c r="W203" i="10" l="1"/>
  <c r="N204" i="10"/>
  <c r="K204" i="10"/>
  <c r="T204" i="10"/>
  <c r="U204" i="10" s="1"/>
  <c r="X204" i="10" s="1"/>
  <c r="O203" i="10"/>
  <c r="V203" i="10" s="1"/>
  <c r="Y203" i="10" s="1"/>
  <c r="L204" i="10"/>
  <c r="M204" i="10"/>
  <c r="M205" i="10" l="1"/>
  <c r="W204" i="10"/>
  <c r="T205" i="10"/>
  <c r="U205" i="10" s="1"/>
  <c r="X205" i="10" s="1"/>
  <c r="O204" i="10"/>
  <c r="V204" i="10" s="1"/>
  <c r="Y204" i="10" s="1"/>
  <c r="L205" i="10"/>
  <c r="K205" i="10"/>
  <c r="W205" i="10" s="1"/>
  <c r="N205" i="10"/>
  <c r="N206" i="10" l="1"/>
  <c r="K206" i="10"/>
  <c r="T206" i="10"/>
  <c r="U206" i="10" s="1"/>
  <c r="X206" i="10" s="1"/>
  <c r="O205" i="10"/>
  <c r="V205" i="10" s="1"/>
  <c r="Y205" i="10" s="1"/>
  <c r="L206" i="10"/>
  <c r="M206" i="10"/>
  <c r="L207" i="10" l="1"/>
  <c r="W206" i="10"/>
  <c r="T207" i="10"/>
  <c r="U207" i="10" s="1"/>
  <c r="X207" i="10" s="1"/>
  <c r="O206" i="10"/>
  <c r="V206" i="10" s="1"/>
  <c r="Y206" i="10" s="1"/>
  <c r="M207" i="10"/>
  <c r="N207" i="10"/>
  <c r="K207" i="10"/>
  <c r="W207" i="10" s="1"/>
  <c r="K208" i="10" l="1"/>
  <c r="T208" i="10"/>
  <c r="U208" i="10" s="1"/>
  <c r="X208" i="10" s="1"/>
  <c r="O207" i="10"/>
  <c r="V207" i="10" s="1"/>
  <c r="Y207" i="10" s="1"/>
  <c r="N208" i="10"/>
  <c r="M208" i="10"/>
  <c r="M209" i="10" s="1"/>
  <c r="L208" i="10"/>
  <c r="L209" i="10" s="1"/>
  <c r="W208" i="10" l="1"/>
  <c r="O208" i="10"/>
  <c r="V208" i="10" s="1"/>
  <c r="Y208" i="10" s="1"/>
  <c r="T209" i="10"/>
  <c r="U209" i="10" s="1"/>
  <c r="X209" i="10" s="1"/>
  <c r="K209" i="10"/>
  <c r="W209" i="10" s="1"/>
  <c r="N209" i="10"/>
  <c r="N210" i="10" s="1"/>
  <c r="W210" i="10" s="1"/>
  <c r="T210" i="10" l="1"/>
  <c r="U210" i="10" s="1"/>
  <c r="O209" i="10"/>
  <c r="V209" i="10" s="1"/>
  <c r="Y209" i="10" s="1"/>
  <c r="T211" i="10"/>
  <c r="O210" i="10"/>
  <c r="V210" i="10" s="1"/>
  <c r="Y210" i="10" s="1"/>
  <c r="N211" i="10"/>
  <c r="M211" i="10"/>
  <c r="L211" i="10"/>
  <c r="K211" i="10"/>
  <c r="W211" i="10" l="1"/>
  <c r="U211" i="10"/>
  <c r="X211" i="10" s="1"/>
  <c r="X210" i="10"/>
  <c r="T212" i="10"/>
  <c r="U212" i="10" s="1"/>
  <c r="X212" i="10" s="1"/>
  <c r="O211" i="10"/>
  <c r="V211" i="10" s="1"/>
  <c r="Y211" i="10" s="1"/>
  <c r="M212" i="10"/>
  <c r="K212" i="10"/>
  <c r="L212" i="10"/>
  <c r="L213" i="10" s="1"/>
  <c r="N212" i="10"/>
  <c r="W212" i="10" l="1"/>
  <c r="N213" i="10"/>
  <c r="T213" i="10"/>
  <c r="U213" i="10" s="1"/>
  <c r="X213" i="10" s="1"/>
  <c r="O212" i="10"/>
  <c r="V212" i="10" s="1"/>
  <c r="Y212" i="10" s="1"/>
  <c r="K213" i="10"/>
  <c r="M213" i="10"/>
  <c r="M214" i="10" s="1"/>
  <c r="W213" i="10" l="1"/>
  <c r="T214" i="10"/>
  <c r="U214" i="10" s="1"/>
  <c r="X214" i="10" s="1"/>
  <c r="O213" i="10"/>
  <c r="V213" i="10" s="1"/>
  <c r="Y213" i="10" s="1"/>
  <c r="K214" i="10"/>
  <c r="N214" i="10"/>
  <c r="L214" i="10"/>
  <c r="W214" i="10" l="1"/>
  <c r="L215" i="10"/>
  <c r="O214" i="10"/>
  <c r="V214" i="10" s="1"/>
  <c r="Y214" i="10" s="1"/>
  <c r="T215" i="10"/>
  <c r="U215" i="10" s="1"/>
  <c r="X215" i="10" s="1"/>
  <c r="N215" i="10"/>
  <c r="K215" i="10"/>
  <c r="M215" i="10"/>
  <c r="M216" i="10" s="1"/>
  <c r="W215" i="10" l="1"/>
  <c r="K216" i="10"/>
  <c r="T216" i="10"/>
  <c r="U216" i="10" s="1"/>
  <c r="X216" i="10" s="1"/>
  <c r="O215" i="10"/>
  <c r="V215" i="10" s="1"/>
  <c r="Y215" i="10" s="1"/>
  <c r="N216" i="10"/>
  <c r="L216" i="10"/>
  <c r="L217" i="10" s="1"/>
  <c r="W216" i="10" l="1"/>
  <c r="T217" i="10"/>
  <c r="U217" i="10" s="1"/>
  <c r="X217" i="10" s="1"/>
  <c r="O216" i="10"/>
  <c r="V216" i="10" s="1"/>
  <c r="Y216" i="10" s="1"/>
  <c r="N217" i="10"/>
  <c r="M217" i="10"/>
  <c r="K217" i="10"/>
  <c r="W217" i="10" s="1"/>
  <c r="K218" i="10" l="1"/>
  <c r="T218" i="10"/>
  <c r="U218" i="10" s="1"/>
  <c r="X218" i="10" s="1"/>
  <c r="O217" i="10"/>
  <c r="V217" i="10" s="1"/>
  <c r="Y217" i="10" s="1"/>
  <c r="M218" i="10"/>
  <c r="N218" i="10"/>
  <c r="L218" i="10"/>
  <c r="L219" i="10" s="1"/>
  <c r="W218" i="10" l="1"/>
  <c r="T219" i="10"/>
  <c r="U219" i="10" s="1"/>
  <c r="X219" i="10" s="1"/>
  <c r="O218" i="10"/>
  <c r="V218" i="10" s="1"/>
  <c r="Y218" i="10" s="1"/>
  <c r="N219" i="10"/>
  <c r="M219" i="10"/>
  <c r="K219" i="10"/>
  <c r="W219" i="10" s="1"/>
  <c r="K220" i="10" l="1"/>
  <c r="T220" i="10"/>
  <c r="O219" i="10"/>
  <c r="V219" i="10" s="1"/>
  <c r="Y219" i="10" s="1"/>
  <c r="U220" i="10"/>
  <c r="X220" i="10" s="1"/>
  <c r="M220" i="10"/>
  <c r="N220" i="10"/>
  <c r="L220" i="10"/>
  <c r="L221" i="10" l="1"/>
  <c r="W220" i="10"/>
  <c r="N221" i="10"/>
  <c r="T221" i="10"/>
  <c r="U221" i="10" s="1"/>
  <c r="X221" i="10" s="1"/>
  <c r="O220" i="10"/>
  <c r="V220" i="10" s="1"/>
  <c r="Y220" i="10" s="1"/>
  <c r="M221" i="10"/>
  <c r="K221" i="10"/>
  <c r="W221" i="10" s="1"/>
  <c r="K222" i="10" l="1"/>
  <c r="T222" i="10"/>
  <c r="U222" i="10" s="1"/>
  <c r="X222" i="10" s="1"/>
  <c r="O221" i="10"/>
  <c r="V221" i="10" s="1"/>
  <c r="Y221" i="10" s="1"/>
  <c r="M222" i="10"/>
  <c r="L222" i="10"/>
  <c r="N222" i="10"/>
  <c r="N223" i="10" s="1"/>
  <c r="W222" i="10" l="1"/>
  <c r="T223" i="10"/>
  <c r="U223" i="10" s="1"/>
  <c r="X223" i="10" s="1"/>
  <c r="O222" i="10"/>
  <c r="V222" i="10" s="1"/>
  <c r="Y222" i="10" s="1"/>
  <c r="L223" i="10"/>
  <c r="M223" i="10"/>
  <c r="K223" i="10"/>
  <c r="W223" i="10" s="1"/>
  <c r="K224" i="10" l="1"/>
  <c r="O223" i="10"/>
  <c r="V223" i="10" s="1"/>
  <c r="Y223" i="10" s="1"/>
  <c r="T224" i="10"/>
  <c r="U224" i="10" s="1"/>
  <c r="X224" i="10" s="1"/>
  <c r="M224" i="10"/>
  <c r="L224" i="10"/>
  <c r="N224" i="10"/>
  <c r="N225" i="10" s="1"/>
  <c r="W224" i="10" l="1"/>
  <c r="T225" i="10"/>
  <c r="U225" i="10" s="1"/>
  <c r="X225" i="10" s="1"/>
  <c r="O224" i="10"/>
  <c r="V224" i="10" s="1"/>
  <c r="Y224" i="10" s="1"/>
  <c r="L225" i="10"/>
  <c r="M225" i="10"/>
  <c r="K225" i="10"/>
  <c r="W225" i="10" s="1"/>
  <c r="M226" i="10" l="1"/>
  <c r="K226" i="10"/>
  <c r="T226" i="10"/>
  <c r="U226" i="10" s="1"/>
  <c r="X226" i="10" s="1"/>
  <c r="O225" i="10"/>
  <c r="V225" i="10" s="1"/>
  <c r="Y225" i="10" s="1"/>
  <c r="L226" i="10"/>
  <c r="N226" i="10"/>
  <c r="N227" i="10" l="1"/>
  <c r="W226" i="10"/>
  <c r="T227" i="10"/>
  <c r="U227" i="10" s="1"/>
  <c r="X227" i="10" s="1"/>
  <c r="O226" i="10"/>
  <c r="V226" i="10" s="1"/>
  <c r="Y226" i="10" s="1"/>
  <c r="L227" i="10"/>
  <c r="K227" i="10"/>
  <c r="M227" i="10"/>
  <c r="M228" i="10" s="1"/>
  <c r="W227" i="10" l="1"/>
  <c r="T228" i="10"/>
  <c r="U228" i="10" s="1"/>
  <c r="X228" i="10" s="1"/>
  <c r="O227" i="10"/>
  <c r="V227" i="10" s="1"/>
  <c r="Y227" i="10" s="1"/>
  <c r="K228" i="10"/>
  <c r="L228" i="10"/>
  <c r="N228" i="10"/>
  <c r="N229" i="10" s="1"/>
  <c r="W228" i="10" l="1"/>
  <c r="T229" i="10"/>
  <c r="U229" i="10" s="1"/>
  <c r="X229" i="10" s="1"/>
  <c r="O228" i="10"/>
  <c r="V228" i="10" s="1"/>
  <c r="Y228" i="10" s="1"/>
  <c r="L229" i="10"/>
  <c r="K229" i="10"/>
  <c r="M229" i="10"/>
  <c r="M230" i="10" s="1"/>
  <c r="W229" i="10" l="1"/>
  <c r="T230" i="10"/>
  <c r="U230" i="10" s="1"/>
  <c r="X230" i="10" s="1"/>
  <c r="O229" i="10"/>
  <c r="V229" i="10" s="1"/>
  <c r="Y229" i="10" s="1"/>
  <c r="K230" i="10"/>
  <c r="L230" i="10"/>
  <c r="N230" i="10"/>
  <c r="W230" i="10" l="1"/>
  <c r="T231" i="10"/>
  <c r="U231" i="10" s="1"/>
  <c r="X231" i="10" s="1"/>
  <c r="O230" i="10"/>
  <c r="V230" i="10" s="1"/>
  <c r="Y230" i="10" s="1"/>
  <c r="N231" i="10"/>
  <c r="W231" i="10" s="1"/>
  <c r="O231" i="10" l="1"/>
  <c r="V231" i="10" s="1"/>
  <c r="Y231" i="10" s="1"/>
  <c r="T232" i="10"/>
  <c r="U232" i="10" s="1"/>
  <c r="X232" i="10" s="1"/>
  <c r="N232" i="10"/>
  <c r="M232" i="10"/>
  <c r="L232" i="10"/>
  <c r="K232" i="10"/>
  <c r="W232" i="10" s="1"/>
  <c r="L233" i="10" l="1"/>
  <c r="T233" i="10"/>
  <c r="U233" i="10" s="1"/>
  <c r="X233" i="10" s="1"/>
  <c r="O232" i="10"/>
  <c r="V232" i="10" s="1"/>
  <c r="Y232" i="10" s="1"/>
  <c r="M233" i="10"/>
  <c r="K233" i="10"/>
  <c r="N233" i="10"/>
  <c r="N234" i="10" l="1"/>
  <c r="W233" i="10"/>
  <c r="K234" i="10"/>
  <c r="T234" i="10"/>
  <c r="U234" i="10" s="1"/>
  <c r="X234" i="10" s="1"/>
  <c r="O233" i="10"/>
  <c r="V233" i="10" s="1"/>
  <c r="Y233" i="10" s="1"/>
  <c r="M234" i="10"/>
  <c r="L234" i="10"/>
  <c r="L235" i="10" s="1"/>
  <c r="W234" i="10" l="1"/>
  <c r="T235" i="10"/>
  <c r="U235" i="10" s="1"/>
  <c r="X235" i="10" s="1"/>
  <c r="O234" i="10"/>
  <c r="V234" i="10" s="1"/>
  <c r="Y234" i="10" s="1"/>
  <c r="M235" i="10"/>
  <c r="N235" i="10"/>
  <c r="K235" i="10"/>
  <c r="W235" i="10" s="1"/>
  <c r="K236" i="10" l="1"/>
  <c r="T236" i="10"/>
  <c r="U236" i="10" s="1"/>
  <c r="X236" i="10" s="1"/>
  <c r="O235" i="10"/>
  <c r="V235" i="10" s="1"/>
  <c r="Y235" i="10" s="1"/>
  <c r="N236" i="10"/>
  <c r="M236" i="10"/>
  <c r="L236" i="10"/>
  <c r="W236" i="10" l="1"/>
  <c r="T237" i="10"/>
  <c r="U237" i="10" s="1"/>
  <c r="X237" i="10" s="1"/>
  <c r="O236" i="10"/>
  <c r="V236" i="10" s="1"/>
  <c r="Y236" i="10" s="1"/>
  <c r="K237" i="10"/>
  <c r="L237" i="10"/>
  <c r="M237" i="10"/>
  <c r="M238" i="10" s="1"/>
  <c r="N237" i="10"/>
  <c r="N238" i="10" s="1"/>
  <c r="W237" i="10" l="1"/>
  <c r="T238" i="10"/>
  <c r="U238" i="10" s="1"/>
  <c r="X238" i="10" s="1"/>
  <c r="O237" i="10"/>
  <c r="V237" i="10" s="1"/>
  <c r="Y237" i="10" s="1"/>
  <c r="L238" i="10"/>
  <c r="K238" i="10"/>
  <c r="W238" i="10" s="1"/>
  <c r="K239" i="10" l="1"/>
  <c r="T239" i="10"/>
  <c r="U239" i="10" s="1"/>
  <c r="X239" i="10" s="1"/>
  <c r="O238" i="10"/>
  <c r="V238" i="10" s="1"/>
  <c r="Y238" i="10" s="1"/>
  <c r="L239" i="10"/>
  <c r="M239" i="10"/>
  <c r="M240" i="10" s="1"/>
  <c r="N239" i="10"/>
  <c r="W239" i="10" l="1"/>
  <c r="N240" i="10"/>
  <c r="T240" i="10"/>
  <c r="U240" i="10" s="1"/>
  <c r="X240" i="10" s="1"/>
  <c r="O239" i="10"/>
  <c r="V239" i="10" s="1"/>
  <c r="Y239" i="10" s="1"/>
  <c r="L240" i="10"/>
  <c r="K240" i="10"/>
  <c r="W240" i="10" s="1"/>
  <c r="N241" i="10" l="1"/>
  <c r="T241" i="10"/>
  <c r="U241" i="10" s="1"/>
  <c r="X241" i="10" s="1"/>
  <c r="O240" i="10"/>
  <c r="V240" i="10" s="1"/>
  <c r="Y240" i="10" s="1"/>
  <c r="K241" i="10"/>
  <c r="L241" i="10"/>
  <c r="M241" i="10"/>
  <c r="L242" i="10" l="1"/>
  <c r="W241" i="10"/>
  <c r="T242" i="10"/>
  <c r="U242" i="10" s="1"/>
  <c r="X242" i="10" s="1"/>
  <c r="O241" i="10"/>
  <c r="V241" i="10" s="1"/>
  <c r="Y241" i="10" s="1"/>
  <c r="M242" i="10"/>
  <c r="K242" i="10"/>
  <c r="N242" i="10"/>
  <c r="N243" i="10" s="1"/>
  <c r="W242" i="10" l="1"/>
  <c r="K243" i="10"/>
  <c r="T243" i="10"/>
  <c r="U243" i="10" s="1"/>
  <c r="X243" i="10" s="1"/>
  <c r="O242" i="10"/>
  <c r="V242" i="10" s="1"/>
  <c r="Y242" i="10" s="1"/>
  <c r="M243" i="10"/>
  <c r="L243" i="10"/>
  <c r="N244" i="10" s="1"/>
  <c r="W244" i="10" s="1"/>
  <c r="W243" i="10" l="1"/>
  <c r="O244" i="10"/>
  <c r="V244" i="10" s="1"/>
  <c r="Y244" i="10" s="1"/>
  <c r="T244" i="10"/>
  <c r="U244" i="10" s="1"/>
  <c r="X244" i="10" s="1"/>
  <c r="O243" i="10"/>
  <c r="V243" i="10" s="1"/>
  <c r="Y243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2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</futureMetadata>
  <cellMetadata count="1">
    <bk>
      <rc t="1" v="0"/>
    </bk>
  </cellMetadata>
  <valueMetadata count="224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</valueMetadata>
</metadata>
</file>

<file path=xl/sharedStrings.xml><?xml version="1.0" encoding="utf-8"?>
<sst xmlns="http://schemas.openxmlformats.org/spreadsheetml/2006/main" count="67" uniqueCount="39">
  <si>
    <t>Date</t>
  </si>
  <si>
    <t>Ticker 1</t>
  </si>
  <si>
    <t>Ticker 2</t>
  </si>
  <si>
    <t>Ticker 3</t>
  </si>
  <si>
    <t>Ticker 4</t>
  </si>
  <si>
    <t>Ticker 5</t>
  </si>
  <si>
    <t>Ticker 6</t>
  </si>
  <si>
    <t>Ticker 7</t>
  </si>
  <si>
    <t>Ticker 8</t>
  </si>
  <si>
    <t>Ticker 9</t>
  </si>
  <si>
    <t>Ticker 10</t>
  </si>
  <si>
    <t>Ticker</t>
  </si>
  <si>
    <t>Shares</t>
  </si>
  <si>
    <t>Shares 1</t>
  </si>
  <si>
    <t>Shares 2</t>
  </si>
  <si>
    <t>Shares 3</t>
  </si>
  <si>
    <t>Shares 4</t>
  </si>
  <si>
    <t>Market Cap 1</t>
  </si>
  <si>
    <t>Market Cap 2</t>
  </si>
  <si>
    <t>Market Cap 3</t>
  </si>
  <si>
    <t>Market Cap 4</t>
  </si>
  <si>
    <t>Total Market Cap</t>
  </si>
  <si>
    <t>Daily return</t>
  </si>
  <si>
    <t>Weight 1</t>
  </si>
  <si>
    <t>Weight 2</t>
  </si>
  <si>
    <t>Weight 3</t>
  </si>
  <si>
    <t>Weight 4</t>
  </si>
  <si>
    <t>Index Level</t>
  </si>
  <si>
    <t>Rebalance Flag</t>
  </si>
  <si>
    <t>Sum of Weights</t>
  </si>
  <si>
    <t>Return 1</t>
  </si>
  <si>
    <t>Return 2</t>
  </si>
  <si>
    <t>Return 3</t>
  </si>
  <si>
    <t>Return 4</t>
  </si>
  <si>
    <t>Index Daily Return</t>
  </si>
  <si>
    <t>Turnover</t>
  </si>
  <si>
    <t>IL + pstv?</t>
  </si>
  <si>
    <t>Weights pstv?</t>
  </si>
  <si>
    <t>Turnover pstv?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</si>
</sst>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F1115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6">
  <a r="1" c="189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</a>
  <a r="1" c="189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</a>
  <a r="1" c="243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  <v t="i">276</v>
    <v t="i">277</v>
    <v t="i">278</v>
    <v t="i">281</v>
    <v t="i">282</v>
    <v t="i">283</v>
    <v t="i">284</v>
    <v t="i">285</v>
    <v t="i">288</v>
    <v t="i">289</v>
    <v t="i">290</v>
    <v t="i">291</v>
    <v t="i">292</v>
    <v t="i">295</v>
    <v t="i">296</v>
    <v t="i">297</v>
    <v t="i">298</v>
    <v t="i">299</v>
    <v t="i">302</v>
    <v t="i">303</v>
    <v t="i">304</v>
    <v t="i">305</v>
    <v t="i">306</v>
    <v t="i">309</v>
    <v t="i">310</v>
    <v t="i">311</v>
    <v t="i">312</v>
    <v t="i">313</v>
    <v t="i">316</v>
    <v t="i">317</v>
    <v t="i">318</v>
    <v t="i">319</v>
    <v t="i">320</v>
    <v t="i">323</v>
    <v t="i">324</v>
    <v t="i">325</v>
    <v t="i">327</v>
    <v t="i">330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</a>
  <a r="1" c="243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  <v>173.66</v>
    <v>174.91</v>
    <v>177.49</v>
    <v>178.99</v>
    <v>178.39</v>
    <v>179.8</v>
    <v>180.71</v>
    <v>178.85</v>
    <v>178.72</v>
    <v>177.15</v>
    <v>175.84</v>
    <v>175.46</v>
    <v>172.88</v>
    <v>173</v>
    <v>173.44</v>
    <v>171.1</v>
    <v>166.89</v>
    <v>168.22</v>
    <v>170.29</v>
    <v>170.77</v>
    <v>173.97</v>
    <v>177.57</v>
    <v>176.65</v>
    <v>179.23</v>
    <v>181.82</v>
    <v>182.89</v>
    <v>182.41</v>
    <v>186.4</v>
    <v>184.8</v>
    <v>187.44</v>
    <v>188.01</v>
    <v>189.71</v>
    <v>189.69</v>
    <v>191.45</v>
    <v>190.64</v>
    <v>191.31</v>
    <v>189.97</v>
    <v>189.79</v>
    <v>190.4</v>
    <v>189.37</v>
    <v>189.95</v>
    <v>191.24</v>
    <v>189.43</v>
    <v>193.42</v>
    <v>192.32</v>
    <v>194.27</v>
    <v>195.71</v>
    <v>193.18</v>
    <v>194.71</v>
    <v>197.96</v>
    <v>198.11</v>
    <v>197.57</v>
    <v>195.89</v>
    <v>196.94</v>
  </a>
  <a r="1" c="189">
    <v>207.39</v>
    <v>212.61</v>
    <v>211.11</v>
    <v>217.75</v>
    <v>218.6</v>
    <v>221.09</v>
    <v>222.1</v>
    <v>223.62</v>
    <v>223.06</v>
    <v>223</v>
    <v>219.46</v>
    <v>220.41</v>
    <v>224.31</v>
    <v>224.18</v>
    <v>223.89</v>
    <v>224.9</v>
    <v>224.71</v>
    <v>231.44</v>
    <v>229.1</v>
    <v>230.21</v>
    <v>230.9</v>
    <v>229.56</v>
    <v>230.13</v>
    <v>229.44</v>
    <v>231.32</v>
    <v>230.2</v>
    <v>229.35</v>
    <v>227.2</v>
    <v>228.88</v>
    <v>229.39</v>
    <v>228.92</v>
    <v>225.83</v>
    <v>223.56</v>
    <v>220.62</v>
    <v>220.02</v>
    <v>221.13</v>
    <v>219.55</v>
    <v>220.35</v>
    <v>219.94</v>
    <v>218.36</v>
    <v>219.06</v>
    <v>223.77</v>
    <v>226.75</v>
    <v>223.17</v>
    <v>222.19</v>
    <v>220.01</v>
    <v>216.14</v>
    <v>214.47</v>
    <v>218.66</v>
    <v>216.37</v>
    <v>217.45</v>
    <v>217.39</v>
    <v>218.15</v>
    <v>221.95</v>
    <v>220.04</v>
    <v>222.59</v>
    <v>221.04</v>
    <v>221.81</v>
    <v>220.33</v>
    <v>223.3</v>
    <v>222.36</v>
    <v>225.46</v>
    <v>229</v>
    <v>227.66</v>
    <v>228.17</v>
    <v>225.99</v>
    <v>226.43</v>
    <v>228.45</v>
    <v>227.81</v>
    <v>232.69</v>
    <v>234.02</v>
    <v>233.48</v>
    <v>233.6</v>
    <v>232.57</v>
    <v>234.6</v>
    <v>234.05</v>
    <v>232.76</v>
    <v>229.59</v>
    <v>228.15</v>
    <v>229.01</v>
    <v>232.73</v>
    <v>232.51</v>
    <v>226.98</v>
    <v>225.98</v>
    <v>225.6</v>
    <v>231.78</v>
    <v>232.23</v>
    <v>233.26</v>
    <v>231.27</v>
    <v>231.01</v>
    <v>231.38</v>
    <v>232.81</v>
    <v>230.47</v>
    <v>232.65</v>
    <v>233.6</v>
    <v>233.31</v>
    <v>231.28</v>
    <v>224.58</v>
    <v>222.25</v>
    <v>223.38</v>
    <v>225.01</v>
    <v>221.64</v>
    <v>221.03</v>
    <v>226.5</v>
    <v>228.79</v>
    <v>226.77</v>
    <v>228.22</v>
    <v>225.27</v>
    <v>223.05</v>
    <v>223.56</v>
    <v>226.17</v>
    <v>223.4</v>
    <v>223.44</v>
    <v>226.17</v>
    <v>228.91</v>
    <v>226.47</v>
    <v>227.25</v>
    <v>228.39</v>
    <v>229.55</v>
    <v>226.3</v>
    <v>227.34</v>
    <v>227.96</v>
    <v>234.32</v>
    <v>237.48</v>
    <v>237.97</v>
    <v>239.45</v>
    <v>238.88</v>
    <v>236.45</v>
    <v>238.16</v>
    <v>240.55</v>
    <v>242.21</v>
    <v>243.31</v>
    <v>243.16</v>
    <v>243.99</v>
    <v>240.77</v>
    <v>241.42</v>
    <v>239.62</v>
    <v>239.25</v>
    <v>240.74</v>
    <v>238.69</v>
    <v>237.1</v>
    <v>234.44</v>
    <v>235.75</v>
    <v>237.73</v>
    <v>239.78</v>
    <v>237.56</v>
    <v>238.76</v>
    <v>238.99</v>
    <v>241.51</v>
    <v>239.29</v>
    <v>239.76</v>
    <v>240.16</v>
    <v>240.04</v>
    <v>242.9</v>
    <v>239.83</v>
    <v>239.29</v>
    <v>237.37</v>
    <v>238.17</v>
    <v>239.46</v>
    <v>240.57</v>
    <v>242.3</v>
    <v>239.47</v>
    <v>242.57</v>
    <v>243.83</v>
    <v>245.34</v>
    <v>246.23</v>
    <v>245.68</v>
    <v>248.11</v>
    <v>245.34</v>
    <v>246.16</v>
    <v>247.14</v>
    <v>247.29</v>
    <v>247.22</v>
    <v>247.3</v>
    <v>247.83</v>
    <v>241.5</v>
    <v>241.07</v>
    <v>244.66</v>
    <v>243.56</v>
    <v>241.86</v>
    <v>236.61</v>
    <v>235.08</v>
    <v>233.36</v>
    <v>229.65</v>
    <v>229.5</v>
    <v>231.66</v>
    <v>230.01</v>
    <v>231.27</v>
    <v>228.81</v>
  </a>
  <a r="1" c="189">
    <v>85.82</v>
    <v>85.14</v>
    <v>83.12</v>
    <v>86.08</v>
    <v>87.36</v>
    <v>89.87</v>
    <v>95.09</v>
    <v>95.27</v>
    <v>98.12</v>
    <v>96.05</v>
    <v>95.46</v>
    <v>93.68</v>
    <v>97.25</v>
    <v>97.52</v>
    <v>96.32</v>
    <v>97.18</v>
    <v>99.22</v>
    <v>102.24</v>
    <v>100.55</v>
    <v>103.13</v>
    <v>105.15</v>
    <v>112.91</v>
    <v>103.39</v>
    <v>102.18</v>
    <v>102.11</v>
    <v>100.05</v>
    <v>98.24</v>
    <v>97.61</v>
    <v>99.54</v>
    <v>99.7</v>
    <v>101.16</v>
    <v>98.15</v>
    <v>97.2</v>
    <v>94.58</v>
    <v>95.79</v>
    <v>95.82</v>
    <v>93.5</v>
    <v>93.76</v>
    <v>94.23</v>
    <v>92.17</v>
    <v>92.13</v>
    <v>94.9</v>
    <v>93.75</v>
    <v>93.55</v>
    <v>93.92</v>
    <v>92.25</v>
    <v>90.73</v>
    <v>92.43</v>
    <v>94.88</v>
    <v>96.2</v>
    <v>100.04</v>
    <v>98.95</v>
    <v>97.71</v>
    <v>100.61</v>
    <v>98.7</v>
    <v>98.71</v>
    <v>98.13</v>
    <v>98.04</v>
    <v>97.24</v>
    <v>100.25</v>
    <v>102</v>
    <v>103.29</v>
    <v>102.41</v>
    <v>103.95</v>
    <v>101.1</v>
    <v>102.06</v>
    <v>102.17</v>
    <v>99.92</v>
    <v>97.83</v>
    <v>102.4</v>
    <v>102.51</v>
    <v>102.74</v>
    <v>102.3</v>
    <v>104.3</v>
    <v>103.81</v>
    <v>106.96</v>
    <v>106.21</v>
    <v>102.57</v>
    <v>104.98</v>
    <v>109.82</v>
    <v>105.45</v>
    <v>102.05</v>
    <v>103.63</v>
    <v>103.65</v>
    <v>104</v>
    <v>105.655</v>
    <v>105.83</v>
    <v>106.62</v>
    <v>110.19</v>
    <v>112.18</v>
    <v>110.26</v>
    <v>111.2</v>
    <v>113.4</v>
    <v>115.5</v>
    <v>118.15</v>
    <v>116.25</v>
    <v>115.01</v>
    <v>114.99</v>
    <v>116.75</v>
    <v>115</v>
    <v>120.11</v>
    <v>121.66</v>
    <v>120.58</v>
    <v>122.77</v>
    <v>124.25</v>
    <v>125.3</v>
    <v>126.61</v>
    <v>121.23</v>
    <v>124.25</v>
    <v>123.43</v>
    <v>126.57</v>
    <v>126.66</v>
    <v>126.42</v>
    <v>127.11</v>
    <v>125.49</v>
    <v>125.78</v>
    <v>124.83</v>
    <v>130.15</v>
    <v>129.33000000000001</v>
    <v>127.33</v>
    <v>129.18</v>
    <v>129.04</v>
    <v>127.9</v>
    <v>130.36000000000001</v>
    <v>130.22</v>
    <v>130.38</v>
    <v>128.36000000000001</v>
    <v>129.78</v>
    <v>127.13</v>
    <v>128.78</v>
    <v>130.80000000000001</v>
    <v>134.30000000000001</v>
    <v>134.68</v>
    <v>133.56</v>
    <v>132.83000000000001</v>
    <v>135.36000000000001</v>
    <v>129.96</v>
    <v>130</v>
    <v>128.80000000000001</v>
    <v>129.13</v>
    <v>128.15</v>
    <v>128.25</v>
    <v>132.21</v>
    <v>133.68</v>
    <v>131.69</v>
    <v>128.21</v>
    <v>128.91</v>
    <v>139.57</v>
    <v>142.22</v>
    <v>139.94</v>
    <v>137.85</v>
    <v>138.56</v>
    <v>138.41</v>
    <v>140.57</v>
    <v>137.66999999999999</v>
    <v>135.07</v>
    <v>133.97999999999999</v>
    <v>133.22</v>
    <v>134.68</v>
    <v>134.25</v>
    <v>135.52000000000001</v>
    <v>131.84</v>
    <v>133.26</v>
    <v>133.13999999999999</v>
    <v>134.91</v>
    <v>135.07</v>
    <v>138.01</v>
    <v>138.12</v>
    <v>137.27000000000001</v>
    <v>135.36000000000001</v>
    <v>137.85</v>
    <v>138.22999999999999</v>
    <v>143.1</v>
    <v>141.22999999999999</v>
    <v>144.85</v>
    <v>144.72</v>
    <v>140.38999999999999</v>
    <v>139.97999999999999</v>
    <v>137.63</v>
    <v>135.29</v>
    <v>129.33000000000001</v>
    <v>129.12</v>
    <v>131.27000000000001</v>
    <v>125.98</v>
    <v>125.98</v>
    <v>125.98</v>
    <v>127.12</v>
    <v>129.46</v>
    <v>124.72</v>
  </a>
  <a r="1" c="189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</a>
  <a r="1" c="243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  <v>318.95499999999998</v>
    <v>319.36</v>
    <v>327.26</v>
    <v>329.82</v>
    <v>328.39</v>
    <v>332.42</v>
    <v>331.16</v>
    <v>327.73</v>
    <v>332.64</v>
    <v>332.06</v>
    <v>330.11</v>
    <v>331.32</v>
    <v>326.67</v>
    <v>329.32</v>
    <v>330.53</v>
    <v>340.67</v>
    <v>327.89</v>
    <v>329.81</v>
    <v>337.31</v>
    <v>338.11</v>
    <v>346.07</v>
    <v>348.32</v>
    <v>352.8</v>
    <v>356.53</v>
    <v>360.53</v>
    <v>363.2</v>
    <v>360.69</v>
    <v>369.67</v>
    <v>366.68</v>
    <v>370.27</v>
    <v>369.67</v>
    <v>376.17</v>
    <v>369.85</v>
    <v>377.44</v>
    <v>373.07</v>
    <v>377.85</v>
    <v>377.43</v>
    <v>378.61</v>
    <v>382.7</v>
    <v>378.85</v>
    <v>378.91</v>
    <v>374.51</v>
    <v>369.14</v>
    <v>372.52</v>
    <v>368.8</v>
    <v>370.95</v>
    <v>374.23</v>
    <v>371.3</v>
    <v>374.38</v>
    <v>374.37</v>
    <v>365.93</v>
    <v>370.73</v>
    <v>372.65</v>
    <v>373.26</v>
  </a>
  <a r="1" c="189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</a>
  <a r="1" c="243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  <v>136.27000000000001</v>
    <v>135.99</v>
    <v>138.72999999999999</v>
    <v>139.5</v>
    <v>139.19999999999999</v>
    <v>141.69999999999999</v>
    <v>140.29</v>
    <v>138.58000000000001</v>
    <v>140.49</v>
    <v>140.99</v>
    <v>139.28</v>
    <v>138.97999999999999</v>
    <v>136.74</v>
    <v>137.9</v>
    <v>140.12</v>
    <v>126.67</v>
    <v>123.44</v>
    <v>123.4</v>
    <v>125.75</v>
    <v>125.3</v>
    <v>127.57</v>
    <v>128.58000000000001</v>
    <v>130.37</v>
    <v>131.44999999999999</v>
    <v>132.4</v>
    <v>133.26</v>
    <v>131.69</v>
    <v>134.06</v>
    <v>133.63999999999999</v>
    <v>135.43</v>
    <v>136.38</v>
    <v>138.69999999999999</v>
    <v>136.94</v>
    <v>137.91999999999999</v>
    <v>138.62</v>
    <v>140.02000000000001</v>
    <v>138.22</v>
    <v>138.05000000000001</v>
    <v>138.62</v>
    <v>136.4</v>
    <v>133.91999999999999</v>
    <v>133.32</v>
    <v>130.63</v>
    <v>132.38999999999999</v>
    <v>131.43</v>
    <v>138.44999999999999</v>
    <v>136.63999999999999</v>
    <v>134.69999999999999</v>
    <v>133.63999999999999</v>
    <v>133.97</v>
    <v>133.19999999999999</v>
    <v>133.84</v>
    <v>137.19</v>
    <v>138.1</v>
  </a>
  <a r="1" c="189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</a>
  <a r="1" c="243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  <v>305.58</v>
    <v>304.79000000000002</v>
    <v>315.43</v>
    <v>318.36</v>
    <v>321.83999999999997</v>
    <v>327.82</v>
    <v>324.16000000000003</v>
    <v>314.69</v>
    <v>321.14999999999998</v>
    <v>324</v>
    <v>316.97000000000003</v>
    <v>312.81</v>
    <v>308.64999999999998</v>
    <v>314.01</v>
    <v>312.55</v>
    <v>299.52999999999997</v>
    <v>288.35000000000002</v>
    <v>296.73</v>
    <v>302.66000000000003</v>
    <v>301.27</v>
    <v>311.85000000000002</v>
    <v>310.87</v>
    <v>314.60000000000002</v>
    <v>315.8</v>
    <v>318.82</v>
    <v>319.77999999999997</v>
    <v>320.55</v>
    <v>328.77</v>
    <v>329.19</v>
    <v>336.31</v>
    <v>332.71</v>
    <v>334.19</v>
    <v>335.04</v>
    <v>339.97</v>
    <v>336.98</v>
    <v>341.49</v>
    <v>338.23</v>
    <v>334.7</v>
    <v>338.99</v>
    <v>332.2</v>
    <v>327.14999999999998</v>
    <v>324.82</v>
    <v>320.02</v>
    <v>318.29000000000002</v>
    <v>317.45</v>
    <v>326.58999999999997</v>
    <v>332.75</v>
    <v>325.27999999999997</v>
    <v>334.22</v>
    <v>334.74</v>
    <v>333.17</v>
    <v>334.92</v>
    <v>344.62</v>
    <v>350.36</v>
  </a>
  <a r="1" c="189">
    <v>14.315</v>
    <v>14.749000000000001</v>
    <v>14.265000000000001</v>
    <v>14.859</v>
    <v>15.628</v>
    <v>15.909000000000001</v>
    <v>16.001000000000001</v>
    <v>16.510999999999999</v>
    <v>16.899000000000001</v>
    <v>17.702000000000002</v>
    <v>17.376999999999999</v>
    <v>16.765000000000001</v>
    <v>17.838999999999999</v>
    <v>19.193000000000001</v>
    <v>19.265000000000001</v>
    <v>19.323</v>
    <v>19.802</v>
    <v>20.364999999999998</v>
    <v>19.161999999999999</v>
    <v>19.536999999999999</v>
    <v>20.943000000000001</v>
    <v>21.709</v>
    <v>21.1</v>
    <v>21.088999999999999</v>
    <v>22.172999999999998</v>
    <v>22.204999999999998</v>
    <v>22.337</v>
    <v>21.265000000000001</v>
    <v>21.788</v>
    <v>22.971</v>
    <v>22.763999999999999</v>
    <v>22.001999999999999</v>
    <v>21.388000000000002</v>
    <v>20.655000000000001</v>
    <v>20.754000000000001</v>
    <v>23.664000000000001</v>
    <v>23.286000000000001</v>
    <v>23.501000000000001</v>
    <v>23.216000000000001</v>
    <v>22.698</v>
    <v>23.314</v>
    <v>23.89</v>
    <v>23.553999999999998</v>
    <v>23.288</v>
    <v>24.181000000000001</v>
    <v>23.436</v>
    <v>22.965</v>
    <v>22.966000000000001</v>
    <v>24.062999999999999</v>
    <v>24.228000000000002</v>
    <v>25.541</v>
    <v>25.725000000000001</v>
    <v>25.9</v>
    <v>26.199000000000002</v>
    <v>26.468</v>
    <v>27.190999999999999</v>
    <v>26.779</v>
    <v>26.530999999999999</v>
    <v>26.41</v>
    <v>26.984000000000002</v>
    <v>27.382999999999999</v>
    <v>27.777000000000001</v>
    <v>27.965</v>
    <v>27.452999999999999</v>
    <v>26.881</v>
    <v>27.036999999999999</v>
    <v>27.579000000000001</v>
    <v>27.169</v>
    <v>26.495000000000001</v>
    <v>26.463000000000001</v>
    <v>26.757999999999999</v>
    <v>27.001999999999999</v>
    <v>27.667000000000002</v>
    <v>27.931000000000001</v>
    <v>27.103999999999999</v>
    <v>27.119</v>
    <v>27.042000000000002</v>
    <v>26.241</v>
    <v>26.956</v>
    <v>27.225999999999999</v>
    <v>27.748999999999999</v>
    <v>28.91</v>
    <v>28.21</v>
    <v>27.802</v>
    <v>27.562000000000001</v>
    <v>28.68</v>
    <v>29.151</v>
    <v>28.571000000000002</v>
    <v>28.885000000000002</v>
    <v>28.577999999999999</v>
    <v>28.34</v>
    <v>28.952999999999999</v>
    <v>29.213000000000001</v>
    <v>30.178000000000001</v>
    <v>31.678000000000001</v>
    <v>31.263999999999999</v>
    <v>31.175999999999998</v>
    <v>30.687999999999999</v>
    <v>30.538</v>
    <v>37.979999999999997</v>
    <v>38.945999999999998</v>
    <v>40.110999999999997</v>
    <v>37.834000000000003</v>
    <v>39.770000000000003</v>
    <v>39.326999999999998</v>
    <v>39.170999999999999</v>
    <v>38.654000000000003</v>
    <v>37.475000000000001</v>
    <v>38.51</v>
    <v>38.770000000000003</v>
    <v>39.481999999999999</v>
    <v>41.021999999999998</v>
    <v>42.997</v>
    <v>42.652999999999999</v>
    <v>42.692</v>
    <v>43.808</v>
    <v>43.045000000000002</v>
    <v>43.024999999999999</v>
    <v>42.209000000000003</v>
    <v>40.631999999999998</v>
    <v>41.875999999999998</v>
    <v>41.116999999999997</v>
    <v>40.822000000000003</v>
    <v>42.302</v>
    <v>42.412999999999997</v>
    <v>42.317</v>
    <v>42.103000000000002</v>
    <v>42.503</v>
    <v>42.18</v>
    <v>42.405000000000001</v>
    <v>43.902000000000001</v>
    <v>45.976999999999997</v>
    <v>45.469000000000001</v>
    <v>46.460999999999999</v>
    <v>47.494</v>
    <v>47.076999999999998</v>
    <v>45.52</v>
    <v>44.308999999999997</v>
    <v>44.612000000000002</v>
    <v>45.679000000000002</v>
    <v>45.451999999999998</v>
    <v>45.9</v>
    <v>46.75</v>
    <v>46.728999999999999</v>
    <v>46.506999999999998</v>
    <v>44.268999999999998</v>
    <v>44.515000000000001</v>
    <v>44.68</v>
    <v>45.416499999999999</v>
    <v>44.664000000000001</v>
    <v>42.554000000000002</v>
    <v>42.387999999999998</v>
    <v>40.854999999999997</v>
    <v>43.753</v>
    <v>43.94</v>
    <v>43.485999999999997</v>
    <v>43.343499999999999</v>
    <v>43.298999999999999</v>
    <v>46.966999999999999</v>
    <v>45.667999999999999</v>
    <v>47.116</v>
    <v>47.162999999999997</v>
    <v>46.018000000000001</v>
    <v>46.835000000000001</v>
    <v>48.783999999999999</v>
    <v>49.264000000000003</v>
    <v>49.354999999999997</v>
    <v>48.509</v>
    <v>48.548000000000002</v>
    <v>47.061</v>
    <v>46.241</v>
    <v>45.572000000000003</v>
    <v>45.177999999999997</v>
    <v>44.87</v>
    <v>45.484999999999999</v>
    <v>45.581000000000003</v>
    <v>43.9</v>
    <v>43.966000000000001</v>
    <v>43.52</v>
    <v>42.238999999999997</v>
    <v>41.017000000000003</v>
    <v>41.61</v>
    <v>42.222000000000001</v>
    <v>41.911000000000001</v>
    <v>42.468000000000004</v>
    <v>43.088999999999999</v>
    <v>43.499000000000002</v>
    <v>44.781999999999996</v>
    <v>43.517000000000003</v>
  </a>
  <a r="1" c="189">
    <v>135.12</v>
    <v>136.38</v>
    <v>135.35</v>
    <v>137.94</v>
    <v>137.37</v>
    <v>138.6</v>
    <v>139.63</v>
    <v>139.49</v>
    <v>143.01</v>
    <v>140.80000000000001</v>
    <v>136.57</v>
    <v>134.75</v>
    <v>135.08000000000001</v>
    <v>137.27000000000001</v>
    <v>138.44999999999999</v>
    <v>139.12</v>
    <v>139.97999999999999</v>
    <v>140.32</v>
    <v>139.13</v>
    <v>139.96</v>
    <v>139.59</v>
    <v>138.94</v>
    <v>141.09</v>
    <v>141.91999999999999</v>
    <v>143.65</v>
    <v>142.63999999999999</v>
    <v>140.41999999999999</v>
    <v>141.04</v>
    <v>142.57</v>
    <v>143.19999999999999</v>
    <v>143.80000000000001</v>
    <v>141.82</v>
    <v>142.24</v>
    <v>139.63</v>
    <v>138.56</v>
    <v>139.66999999999999</v>
    <v>140.93</v>
    <v>142.16</v>
    <v>143.35</v>
    <v>142.55000000000001</v>
    <v>141.07</v>
    <v>143.66</v>
    <v>142.82</v>
    <v>138.62</v>
    <v>137.80000000000001</v>
    <v>130.34</v>
    <v>133.65</v>
    <v>131.25</v>
    <v>134.62</v>
    <v>128.26</v>
    <v>130.75</v>
    <v>125.81</v>
    <v>127.14</v>
    <v>130.55000000000001</v>
    <v>127.18</v>
    <v>126.84</v>
    <v>124.91</v>
    <v>128.49</v>
    <v>128.88</v>
    <v>129.13999999999999</v>
    <v>128.75</v>
    <v>130.31</v>
    <v>130.16</v>
    <v>128.41999999999999</v>
    <v>127.61</v>
    <v>127.47</v>
    <v>127.89</v>
    <v>128.52000000000001</v>
    <v>128.5</v>
    <v>128.99</v>
    <v>138.72999999999999</v>
    <v>139.83000000000001</v>
    <v>141.4</v>
    <v>141.22</v>
    <v>140.81</v>
    <v>140.54</v>
    <v>140.72999999999999</v>
    <v>137.66999999999999</v>
    <v>135.22999999999999</v>
    <v>137.05000000000001</v>
    <v>138.24</v>
    <v>141.19999999999999</v>
    <v>138.91999999999999</v>
    <v>135.97999999999999</v>
    <v>134.12</v>
    <v>136.74</v>
    <v>137.07</v>
    <v>136.41</v>
    <v>136.47999999999999</v>
    <v>136.05000000000001</v>
    <v>134.1</v>
    <v>135.22999999999999</v>
    <v>134.32</v>
    <v>138.44999999999999</v>
    <v>139.5</v>
    <v>139.18</v>
    <v>138.03</v>
    <v>136.59</v>
    <v>135.34</v>
    <v>135.66999999999999</v>
    <v>136.94</v>
    <v>137.46</v>
    <v>135.71</v>
    <v>137.58000000000001</v>
    <v>140.47</v>
    <v>139.09</v>
    <v>139.34</v>
    <v>140.69</v>
    <v>140.72999999999999</v>
    <v>141.01</v>
    <v>141</v>
    <v>142.02000000000001</v>
    <v>141.49</v>
    <v>143.09</v>
    <v>143.26</v>
    <v>142.53</v>
    <v>142.32</v>
    <v>139.58000000000001</v>
    <v>138.85</v>
    <v>139.19</v>
    <v>139.19999999999999</v>
    <v>138.59</v>
    <v>143.43</v>
    <v>145.44</v>
    <v>146.61000000000001</v>
    <v>144.63999999999999</v>
    <v>143.21</v>
    <v>144.34</v>
    <v>145.15</v>
    <v>147.41999999999999</v>
    <v>148.15</v>
    <v>148.87</v>
    <v>149.77000000000001</v>
    <v>153.38</v>
    <v>153.66</v>
    <v>154.25</v>
    <v>156.15</v>
    <v>154.94999999999999</v>
    <v>158</v>
    <v>156.82</v>
    <v>157.76</v>
    <v>156.02000000000001</v>
    <v>156.91</v>
    <v>157.96</v>
    <v>157.18</v>
    <v>155.4</v>
    <v>156.35</v>
    <v>156.02000000000001</v>
    <v>156.76</v>
    <v>155.88</v>
    <v>153.79</v>
    <v>153.56</v>
    <v>154.44999999999999</v>
    <v>154.77000000000001</v>
    <v>150.83000000000001</v>
    <v>150.19</v>
    <v>148.63</v>
    <v>148.97</v>
    <v>149.47999999999999</v>
    <v>146.38</v>
    <v>147.37</v>
    <v>147.22999999999999</v>
    <v>147.05000000000001</v>
    <v>147.56</v>
    <v>148.76</v>
    <v>148.16</v>
    <v>146.33000000000001</v>
    <v>146.82</v>
    <v>145.19999999999999</v>
    <v>144.96</v>
    <v>143.72</v>
    <v>143.83000000000001</v>
    <v>144.46</v>
    <v>146.34</v>
    <v>146.41</v>
    <v>149.25</v>
    <v>148.81</v>
    <v>149.12</v>
    <v>148.93</v>
    <v>148.30000000000001</v>
    <v>147.13999999999999</v>
    <v>145.72999999999999</v>
    <v>146.44999999999999</v>
    <v>144.93</v>
    <v>145.78</v>
    <v>147.59</v>
    <v>145.02000000000001</v>
    <v>143.77000000000001</v>
    <v>142.71</v>
  </a>
  <a r="1" c="189">
    <v>178.19</v>
    <v>180.13</v>
    <v>178.8</v>
    <v>180.25</v>
    <v>175.58</v>
    <v>175.16</v>
    <v>174.88</v>
    <v>174</v>
    <v>173.43</v>
    <v>172.36</v>
    <v>169.76</v>
    <v>169.53</v>
    <v>168.74</v>
    <v>168.31</v>
    <v>168.31</v>
    <v>169.51</v>
    <v>168.89</v>
    <v>168.23</v>
    <v>162</v>
    <v>163.41999999999999</v>
    <v>164.92</v>
    <v>165.54</v>
    <v>164.61</v>
    <v>163.36000000000001</v>
    <v>163.4</v>
    <v>163.61000000000001</v>
    <v>161.4</v>
    <v>162.15</v>
    <v>162.75</v>
    <v>162.04</v>
    <v>159.37</v>
    <v>158.24</v>
    <v>160.38999999999999</v>
    <v>158</v>
    <v>157.78</v>
    <v>157.72999999999999</v>
    <v>155.97</v>
    <v>155.63</v>
    <v>153.26</v>
    <v>152.57</v>
    <v>152.44999999999999</v>
    <v>154.02000000000001</v>
    <v>155.56</v>
    <v>154.09</v>
    <v>152.96</v>
    <v>151.24</v>
    <v>151.61000000000001</v>
    <v>153.06</v>
    <v>153.91999999999999</v>
    <v>154.35</v>
    <v>154.03</v>
    <v>152.38</v>
    <v>153.88999999999999</v>
    <v>153.88999999999999</v>
    <v>151.05000000000001</v>
    <v>151.13</v>
    <v>152.65</v>
    <v>153.30000000000001</v>
    <v>151.82</v>
    <v>153.31</v>
    <v>153.43</v>
    <v>155</v>
    <v>156.85</v>
    <v>158.49</v>
    <v>165.61</v>
    <v>165.15</v>
    <v>164.32</v>
    <v>164.27</v>
    <v>163.92</v>
    <v>166.11</v>
    <v>165.84</v>
    <v>165.67</v>
    <v>161.01</v>
    <v>162.53</v>
    <v>163.58000000000001</v>
    <v>162.69</v>
    <v>163.68</v>
    <v>165.18</v>
    <v>162.62</v>
    <v>163</v>
    <v>163.69999999999999</v>
    <v>163.6</v>
    <v>165.03</v>
    <v>162.87</v>
    <v>162.13</v>
    <v>162.68</v>
    <v>162.31</v>
    <v>161.05000000000001</v>
    <v>161.65</v>
    <v>160.99</v>
    <v>160.78</v>
    <v>159.55000000000001</v>
    <v>159.34</v>
    <v>158.99</v>
    <v>158.47999999999999</v>
    <v>158.91</v>
    <v>156.87</v>
    <v>156.81</v>
    <v>156.66</v>
    <v>154.41</v>
    <v>154.35</v>
    <v>154.37</v>
    <v>155.06</v>
    <v>154.54</v>
    <v>156.97</v>
    <v>158.32</v>
    <v>158.18</v>
    <v>158.52000000000001</v>
    <v>160.26</v>
    <v>160.01</v>
    <v>159.9</v>
    <v>160.74</v>
    <v>161.56</v>
    <v>163.72999999999999</v>
    <v>164.23</v>
    <v>164.13</v>
    <v>163.88</v>
    <v>165.62</v>
    <v>165.48</v>
    <v>163.63</v>
    <v>163.29</v>
    <v>162.96</v>
    <v>164.1</v>
    <v>165.52</v>
    <v>163.35</v>
    <v>162.81</v>
    <v>161.6</v>
    <v>159.25</v>
    <v>159.51</v>
    <v>158.63</v>
    <v>158.08000000000001</v>
    <v>158.81</v>
    <v>159.87</v>
    <v>159.07</v>
    <v>159.06</v>
    <v>158.74</v>
    <v>168.38</v>
    <v>170.19</v>
    <v>171.08</v>
    <v>172.39</v>
    <v>172.72</v>
    <v>173.69</v>
    <v>174.48</v>
    <v>167.53</v>
    <v>168.89</v>
    <v>169.91</v>
    <v>170.64</v>
    <v>169.04</v>
    <v>173.1</v>
    <v>173.18</v>
    <v>173.07</v>
    <v>172.17</v>
    <v>173.85</v>
    <v>173.44</v>
    <v>172.94</v>
    <v>172.39</v>
    <v>174.01</v>
    <v>172.49</v>
    <v>167.35</v>
    <v>166.02</v>
    <v>164.53</v>
    <v>165.09</v>
    <v>166.25</v>
    <v>164.29</v>
    <v>164.31</v>
    <v>163.72999999999999</v>
    <v>161.68</v>
    <v>160.47999999999999</v>
    <v>160.68</v>
    <v>158.01</v>
    <v>160.03</v>
    <v>160.56</v>
    <v>162.66</v>
    <v>163.58000000000001</v>
    <v>163.99</v>
    <v>163.74</v>
    <v>161.44999999999999</v>
    <v>162.47</v>
    <v>162.19999999999999</v>
    <v>162.91</v>
    <v>161.66</v>
    <v>160.5</v>
    <v>160.26</v>
    <v>159.02000000000001</v>
    <v>157.11000000000001</v>
    <v>156.88</v>
    <v>155.75</v>
    <v>155.15</v>
    <v>155.34</v>
  </a>
  <a r="1" c="189">
    <v>108.1</v>
    <v>113.64</v>
    <v>110.34</v>
    <v>113.06</v>
    <v>119.77</v>
    <v>118.85</v>
    <v>123.22</v>
    <v>123.56</v>
    <v>122.4</v>
    <v>131.49</v>
    <v>128.78</v>
    <v>127.17</v>
    <v>133.41999999999999</v>
    <v>143.75</v>
    <v>143.88999999999999</v>
    <v>144.43</v>
    <v>160.27000000000001</v>
    <v>177.9</v>
    <v>166.66</v>
    <v>173.22</v>
    <v>181.41</v>
    <v>188.27</v>
    <v>189.98</v>
    <v>194.76</v>
    <v>196.81</v>
    <v>201.29</v>
    <v>207.32</v>
    <v>196.89</v>
    <v>194.64</v>
    <v>209.25</v>
    <v>214.24</v>
    <v>202.04</v>
    <v>208.31</v>
    <v>197.37</v>
    <v>200.86</v>
    <v>202.07</v>
    <v>196.88</v>
    <v>207.63</v>
    <v>205.71</v>
    <v>202.77</v>
    <v>190.9</v>
    <v>197.79</v>
    <v>193.81</v>
    <v>187.71</v>
    <v>182</v>
    <v>172.92</v>
    <v>173.44</v>
    <v>174.48</v>
    <v>183.26</v>
    <v>180.45</v>
    <v>184.13</v>
    <v>180.13</v>
    <v>183.25</v>
    <v>197.58</v>
    <v>191.15</v>
    <v>192.22</v>
    <v>190.41</v>
    <v>191.81</v>
    <v>189.19</v>
    <v>193.88</v>
    <v>195.28</v>
    <v>207.46</v>
    <v>194.77</v>
    <v>192.58</v>
    <v>185.52</v>
    <v>185.06</v>
    <v>184.51</v>
    <v>186.79</v>
    <v>180.54</v>
    <v>185.9</v>
    <v>185</v>
    <v>187.04</v>
    <v>184.31</v>
    <v>180.59</v>
    <v>162.99</v>
    <v>165.08</v>
    <v>162.55000000000001</v>
    <v>160.66999999999999</v>
    <v>153.75</v>
    <v>160.19</v>
    <v>164.31</v>
    <v>161.83000000000001</v>
    <v>160.31</v>
    <v>160.61000000000001</v>
    <v>161.19999999999999</v>
    <v>170.06</v>
    <v>171.79</v>
    <v>169.15</v>
    <v>168.54</v>
    <v>172.08</v>
    <v>167.98</v>
    <v>166.35</v>
    <v>166.52</v>
    <v>173.86</v>
    <v>176.89</v>
    <v>180.14</v>
    <v>188.87</v>
    <v>185.77</v>
    <v>182.9</v>
    <v>184.47</v>
    <v>193.17</v>
    <v>201.16</v>
    <v>203.93</v>
    <v>207.52</v>
    <v>213.97</v>
    <v>217.61</v>
    <v>221.31</v>
    <v>224.57</v>
    <v>234.86</v>
    <v>244.4</v>
    <v>249.83</v>
    <v>258.70999999999998</v>
    <v>256.79000000000002</v>
    <v>255.9</v>
    <v>260.54000000000002</v>
    <v>274.45</v>
    <v>259.45999999999998</v>
    <v>264.61</v>
    <v>256.60000000000002</v>
    <v>241.05</v>
    <v>250.21</v>
    <v>256.24</v>
    <v>257.5</v>
    <v>261.77</v>
    <v>279.82</v>
    <v>282.48</v>
    <v>276.54000000000002</v>
    <v>274.43</v>
    <v>269.61</v>
    <v>269.79000000000002</v>
    <v>271.99</v>
    <v>277.89999999999998</v>
    <v>281.38</v>
    <v>290.38</v>
    <v>293.33999999999997</v>
    <v>291.26</v>
    <v>262.89999999999998</v>
    <v>260.02</v>
    <v>269.06</v>
    <v>265.27999999999997</v>
    <v>264.35000000000002</v>
    <v>255.71</v>
    <v>266.44</v>
    <v>267.43</v>
    <v>261.07</v>
    <v>254.11</v>
    <v>259.32</v>
    <v>253.86</v>
    <v>251.45</v>
    <v>249.7</v>
    <v>242.19</v>
    <v>245.34</v>
    <v>242.65</v>
    <v>239.76</v>
    <v>232.96</v>
    <v>225.6</v>
    <v>219.22</v>
    <v>215.49</v>
    <v>231.28</v>
    <v>233.19</v>
    <v>236.86</v>
    <v>230.04</v>
    <v>238.59</v>
    <v>238.82</v>
    <v>257.18</v>
    <v>256.89999999999998</v>
    <v>258.08</v>
    <v>245.01</v>
    <v>256.49</v>
    <v>251.92</v>
    <v>251.49</v>
    <v>248.5</v>
    <v>273.58</v>
    <v>267.48</v>
    <v>271.3</v>
    <v>276.04000000000002</v>
    <v>274.39</v>
    <v>265.27999999999997</v>
    <v>266.5</v>
    <v>262.58999999999997</v>
    <v>255.7</v>
    <v>244.88</v>
    <v>246.99</v>
    <v>244.12</v>
    <v>240.5</v>
    <v>246.38</v>
    <v>250.22</v>
    <v>251.6</v>
    <v>246.53</v>
  </a>
</arrayData>
</file>

<file path=xl/richData/rdrichvalue.xml><?xml version="1.0" encoding="utf-8"?>
<rvData xmlns="http://schemas.microsoft.com/office/spreadsheetml/2017/richdata" count="2261">
  <rv s="0">
    <fb>44929</fb>
    <v>0</v>
  </rv>
  <rv s="0">
    <fb>125.07</fb>
    <v>1</v>
  </rv>
  <rv s="0">
    <fb>239.58</fb>
    <v>1</v>
  </rv>
  <rv s="0">
    <fb>89.12</fb>
    <v>1</v>
  </rv>
  <rv s="0">
    <fb>124.74</fb>
    <v>1</v>
  </rv>
  <rv s="0">
    <fb>14.315</fb>
    <v>1</v>
  </rv>
  <rv s="0">
    <fb>135.12</fb>
    <v>1</v>
  </rv>
  <rv s="0">
    <fb>207.39</fb>
    <v>1</v>
  </rv>
  <rv s="0">
    <fb>178.19</fb>
    <v>1</v>
  </rv>
  <rv s="0">
    <fb>108.1</fb>
    <v>1</v>
  </rv>
  <rv s="0">
    <fb>85.82</fb>
    <v>1</v>
  </rv>
  <rv s="0">
    <fb>44930</fb>
    <v>0</v>
  </rv>
  <rv s="0">
    <fb>126.36</fb>
    <v>1</v>
  </rv>
  <rv s="0">
    <fb>229.1</fb>
    <v>1</v>
  </rv>
  <rv s="0">
    <fb>88.08</fb>
    <v>1</v>
  </rv>
  <rv s="0">
    <fb>127.37</fb>
    <v>1</v>
  </rv>
  <rv s="0">
    <fb>14.749000000000001</fb>
    <v>1</v>
  </rv>
  <rv s="0">
    <fb>136.38</fb>
    <v>1</v>
  </rv>
  <rv s="0">
    <fb>212.61</fb>
    <v>1</v>
  </rv>
  <rv s="0">
    <fb>180.13</fb>
    <v>1</v>
  </rv>
  <rv s="0">
    <fb>113.64</fb>
    <v>1</v>
  </rv>
  <rv s="0">
    <fb>85.14</fb>
    <v>1</v>
  </rv>
  <rv s="0">
    <fb>44931</fb>
    <v>0</v>
  </rv>
  <rv s="0">
    <fb>125.02</fb>
    <v>1</v>
  </rv>
  <rv s="0">
    <fb>222.31</fb>
    <v>1</v>
  </rv>
  <rv s="0">
    <fb>86.2</fb>
    <v>1</v>
  </rv>
  <rv s="0">
    <fb>126.94</fb>
    <v>1</v>
  </rv>
  <rv s="0">
    <fb>14.265000000000001</fb>
    <v>1</v>
  </rv>
  <rv s="0">
    <fb>135.35</fb>
    <v>1</v>
  </rv>
  <rv s="0">
    <fb>211.11</fb>
    <v>1</v>
  </rv>
  <rv s="0">
    <fb>178.8</fb>
    <v>1</v>
  </rv>
  <rv s="0">
    <fb>110.34</fb>
    <v>1</v>
  </rv>
  <rv s="0">
    <fb>83.12</fb>
    <v>1</v>
  </rv>
  <rv s="0">
    <fb>44932</fb>
    <v>0</v>
  </rv>
  <rv s="0">
    <fb>129.62</fb>
    <v>1</v>
  </rv>
  <rv s="0">
    <fb>224.93</fb>
    <v>1</v>
  </rv>
  <rv s="0">
    <fb>87.34</fb>
    <v>1</v>
  </rv>
  <rv s="0">
    <fb>130.02000000000001</fb>
    <v>1</v>
  </rv>
  <rv s="0">
    <fb>14.859</fb>
    <v>1</v>
  </rv>
  <rv s="0">
    <fb>137.94</fb>
    <v>1</v>
  </rv>
  <rv s="0">
    <fb>217.75</fb>
    <v>1</v>
  </rv>
  <rv s="0">
    <fb>180.25</fb>
    <v>1</v>
  </rv>
  <rv s="0">
    <fb>113.06</fb>
    <v>1</v>
  </rv>
  <rv s="0">
    <fb>86.08</fb>
    <v>1</v>
  </rv>
  <rv s="0">
    <fb>44935</fb>
    <v>0</v>
  </rv>
  <rv s="0">
    <fb>130.15</fb>
    <v>1</v>
  </rv>
  <rv s="0">
    <fb>227.12</fb>
    <v>1</v>
  </rv>
  <rv s="0">
    <fb>88.02</fb>
    <v>1</v>
  </rv>
  <rv s="0">
    <fb>129.47</fb>
    <v>1</v>
  </rv>
  <rv s="0">
    <fb>15.628</fb>
    <v>1</v>
  </rv>
  <rv s="0">
    <fb>137.37</fb>
    <v>1</v>
  </rv>
  <rv s="0">
    <fb>218.6</fb>
    <v>1</v>
  </rv>
  <rv s="0">
    <fb>175.58</fb>
    <v>1</v>
  </rv>
  <rv s="0">
    <fb>119.77</fb>
    <v>1</v>
  </rv>
  <rv s="0">
    <fb>87.36</fb>
    <v>1</v>
  </rv>
  <rv s="0">
    <fb>44936</fb>
    <v>0</v>
  </rv>
  <rv s="0">
    <fb>130.72999999999999</fb>
    <v>1</v>
  </rv>
  <rv s="0">
    <fb>228.85</fb>
    <v>1</v>
  </rv>
  <rv s="0">
    <fb>88.42</fb>
    <v>1</v>
  </rv>
  <rv s="0">
    <fb>132.99</fb>
    <v>1</v>
  </rv>
  <rv s="0">
    <fb>15.909000000000001</fb>
    <v>1</v>
  </rv>
  <rv s="0">
    <fb>138.6</fb>
    <v>1</v>
  </rv>
  <rv s="0">
    <fb>221.09</fb>
    <v>1</v>
  </rv>
  <rv s="0">
    <fb>175.16</fb>
    <v>1</v>
  </rv>
  <rv s="0">
    <fb>118.85</fb>
    <v>1</v>
  </rv>
  <rv s="0">
    <fb>89.87</fb>
    <v>1</v>
  </rv>
  <rv s="0">
    <fb>44937</fb>
    <v>0</v>
  </rv>
  <rv s="0">
    <fb>133.49</fb>
    <v>1</v>
  </rv>
  <rv s="0">
    <fb>235.77</fb>
    <v>1</v>
  </rv>
  <rv s="0">
    <fb>91.52</fb>
    <v>1</v>
  </rv>
  <rv s="0">
    <fb>132.88999999999999</fb>
    <v>1</v>
  </rv>
  <rv s="0">
    <fb>16.001000000000001</fb>
    <v>1</v>
  </rv>
  <rv s="0">
    <fb>139.63</fb>
    <v>1</v>
  </rv>
  <rv s="0">
    <fb>222.1</fb>
    <v>1</v>
  </rv>
  <rv s="0">
    <fb>174.88</fb>
    <v>1</v>
  </rv>
  <rv s="0">
    <fb>123.22</fb>
    <v>1</v>
  </rv>
  <rv s="0">
    <fb>95.09</fb>
    <v>1</v>
  </rv>
  <rv s="0">
    <fb>44938</fb>
    <v>0</v>
  </rv>
  <rv s="0">
    <fb>133.41</fb>
    <v>1</v>
  </rv>
  <rv s="0">
    <fb>238.51</fb>
    <v>1</v>
  </rv>
  <rv s="0">
    <fb>91.13</fb>
    <v>1</v>
  </rv>
  <rv s="0">
    <fb>136.71</fb>
    <v>1</v>
  </rv>
  <rv s="0">
    <fb>16.510999999999999</fb>
    <v>1</v>
  </rv>
  <rv s="0">
    <fb>139.49</fb>
    <v>1</v>
  </rv>
  <rv s="0">
    <fb>223.62</fb>
    <v>1</v>
  </rv>
  <rv s="0">
    <fb>174</fb>
    <v>1</v>
  </rv>
  <rv s="0">
    <fb>123.56</fb>
    <v>1</v>
  </rv>
  <rv s="0">
    <fb>95.27</fb>
    <v>1</v>
  </rv>
  <rv s="0">
    <fb>44939</fb>
    <v>0</v>
  </rv>
  <rv s="0">
    <fb>134.76</fb>
    <v>1</v>
  </rv>
  <rv s="0">
    <fb>239.23</fb>
    <v>1</v>
  </rv>
  <rv s="0">
    <fb>92.12</fb>
    <v>1</v>
  </rv>
  <rv s="0">
    <fb>136.97999999999999</fb>
    <v>1</v>
  </rv>
  <rv s="0">
    <fb>16.899000000000001</fb>
    <v>1</v>
  </rv>
  <rv s="0">
    <fb>143.01</fb>
    <v>1</v>
  </rv>
  <rv s="0">
    <fb>223.06</fb>
    <v>1</v>
  </rv>
  <rv s="0">
    <fb>173.43</fb>
    <v>1</v>
  </rv>
  <rv s="0">
    <fb>122.4</fb>
    <v>1</v>
  </rv>
  <rv s="0">
    <fb>98.12</fb>
    <v>1</v>
  </rv>
  <rv s="0">
    <fb>44943</fb>
    <v>0</v>
  </rv>
  <rv s="0">
    <fb>135.94</fb>
    <v>1</v>
  </rv>
  <rv s="0">
    <fb>240.35</fb>
    <v>1</v>
  </rv>
  <rv s="0">
    <fb>91.29</fb>
    <v>1</v>
  </rv>
  <rv s="0">
    <fb>135.36000000000001</fb>
    <v>1</v>
  </rv>
  <rv s="0">
    <fb>17.702000000000002</fb>
    <v>1</v>
  </rv>
  <rv s="0">
    <fb>140.80000000000001</fb>
    <v>1</v>
  </rv>
  <rv s="0">
    <fb>223</fb>
    <v>1</v>
  </rv>
  <rv s="0">
    <fb>172.36</fb>
    <v>1</v>
  </rv>
  <rv s="0">
    <fb>131.49</fb>
    <v>1</v>
  </rv>
  <rv s="0">
    <fb>96.05</fb>
    <v>1</v>
  </rv>
  <rv s="0">
    <fb>44944</fb>
    <v>0</v>
  </rv>
  <rv s="0">
    <fb>135.21</fb>
    <v>1</v>
  </rv>
  <rv s="0">
    <fb>235.81</fb>
    <v>1</v>
  </rv>
  <rv s="0">
    <fb>91.12</fb>
    <v>1</v>
  </rv>
  <rv s="0">
    <fb>133.02000000000001</fb>
    <v>1</v>
  </rv>
  <rv s="0">
    <fb>17.376999999999999</fb>
    <v>1</v>
  </rv>
  <rv s="0">
    <fb>136.57</fb>
    <v>1</v>
  </rv>
  <rv s="0">
    <fb>219.46</fb>
    <v>1</v>
  </rv>
  <rv s="0">
    <fb>169.76</fb>
    <v>1</v>
  </rv>
  <rv s="0">
    <fb>128.78</fb>
    <v>1</v>
  </rv>
  <rv s="0">
    <fb>95.46</fb>
    <v>1</v>
  </rv>
  <rv s="0">
    <fb>44945</fb>
    <v>0</v>
  </rv>
  <rv s="0">
    <fb>135.27000000000001</fb>
    <v>1</v>
  </rv>
  <rv s="0">
    <fb>231.93</fb>
    <v>1</v>
  </rv>
  <rv s="0">
    <fb>93.05</fb>
    <v>1</v>
  </rv>
  <rv s="0">
    <fb>136.15</fb>
    <v>1</v>
  </rv>
  <rv s="0">
    <fb>16.765000000000001</fb>
    <v>1</v>
  </rv>
  <rv s="0">
    <fb>134.75</fb>
    <v>1</v>
  </rv>
  <rv s="0">
    <fb>220.41</fb>
    <v>1</v>
  </rv>
  <rv s="0">
    <fb>169.53</fb>
    <v>1</v>
  </rv>
  <rv s="0">
    <fb>127.17</fb>
    <v>1</v>
  </rv>
  <rv s="0">
    <fb>93.68</fb>
    <v>1</v>
  </rv>
  <rv s="0">
    <fb>44946</fb>
    <v>0</v>
  </rv>
  <rv s="0">
    <fb>137.87</fb>
    <v>1</v>
  </rv>
  <rv s="0">
    <fb>240.22</fb>
    <v>1</v>
  </rv>
  <rv s="0">
    <fb>98.02</fb>
    <v>1</v>
  </rv>
  <rv s="0">
    <fb>139.37</fb>
    <v>1</v>
  </rv>
  <rv s="0">
    <fb>17.838999999999999</fb>
    <v>1</v>
  </rv>
  <rv s="0">
    <fb>135.08000000000001</fb>
    <v>1</v>
  </rv>
  <rv s="0">
    <fb>224.31</fb>
    <v>1</v>
  </rv>
  <rv s="0">
    <fb>168.74</fb>
    <v>1</v>
  </rv>
  <rv s="0">
    <fb>133.41999999999999</fb>
    <v>1</v>
  </rv>
  <rv s="0">
    <fb>97.25</fb>
    <v>1</v>
  </rv>
  <rv s="0">
    <fb>44949</fb>
    <v>0</v>
  </rv>
  <rv s="0">
    <fb>141.11000000000001</fb>
    <v>1</v>
  </rv>
  <rv s="0">
    <fb>242.58</fb>
    <v>1</v>
  </rv>
  <rv s="0">
    <fb>99.79</fb>
    <v>1</v>
  </rv>
  <rv s="0">
    <fb>143.27000000000001</fb>
    <v>1</v>
  </rv>
  <rv s="0">
    <fb>19.193000000000001</fb>
    <v>1</v>
  </rv>
  <rv s="0">
    <fb>137.27000000000001</fb>
    <v>1</v>
  </rv>
  <rv s="0">
    <fb>224.18</fb>
    <v>1</v>
  </rv>
  <rv s="0">
    <fb>168.31</fb>
    <v>1</v>
  </rv>
  <rv s="0">
    <fb>143.75</fb>
    <v>1</v>
  </rv>
  <rv s="0">
    <fb>97.52</fb>
    <v>1</v>
  </rv>
  <rv s="0">
    <fb>44950</fb>
    <v>0</v>
  </rv>
  <rv s="0">
    <fb>142.53</fb>
    <v>1</v>
  </rv>
  <rv s="0">
    <fb>242.04</fb>
    <v>1</v>
  </rv>
  <rv s="0">
    <fb>97.7</fb>
    <v>1</v>
  </rv>
  <rv s="0">
    <fb>143.13999999999999</fb>
    <v>1</v>
  </rv>
  <rv s="0">
    <fb>19.265000000000001</fb>
    <v>1</v>
  </rv>
  <rv s="0">
    <fb>138.44999999999999</fb>
    <v>1</v>
  </rv>
  <rv s="0">
    <fb>223.89</fb>
    <v>1</v>
  </rv>
  <rv s="0">
    <fb>143.88999999999999</fb>
    <v>1</v>
  </rv>
  <rv s="0">
    <fb>96.32</fb>
    <v>1</v>
  </rv>
  <rv s="0">
    <fb>44951</fb>
    <v>0</v>
  </rv>
  <rv s="0">
    <fb>141.86000000000001</fb>
    <v>1</v>
  </rv>
  <rv s="0">
    <fb>240.61</fb>
    <v>1</v>
  </rv>
  <rv s="0">
    <fb>95.22</fb>
    <v>1</v>
  </rv>
  <rv s="0">
    <fb>141.5</fb>
    <v>1</v>
  </rv>
  <rv s="0">
    <fb>19.323</fb>
    <v>1</v>
  </rv>
  <rv s="0">
    <fb>139.12</fb>
    <v>1</v>
  </rv>
  <rv s="0">
    <fb>224.9</fb>
    <v>1</v>
  </rv>
  <rv s="0">
    <fb>169.51</fb>
    <v>1</v>
  </rv>
  <rv s="0">
    <fb>144.43</fb>
    <v>1</v>
  </rv>
  <rv s="0">
    <fb>97.18</fb>
    <v>1</v>
  </rv>
  <rv s="0">
    <fb>44952</fb>
    <v>0</v>
  </rv>
  <rv s="0">
    <fb>143.96</fb>
    <v>1</v>
  </rv>
  <rv s="0">
    <fb>248</fb>
    <v>1</v>
  </rv>
  <rv s="0">
    <fb>147.30000000000001</fb>
    <v>1</v>
  </rv>
  <rv s="0">
    <fb>19.802</fb>
    <v>1</v>
  </rv>
  <rv s="0">
    <fb>139.97999999999999</fb>
    <v>1</v>
  </rv>
  <rv s="0">
    <fb>224.71</fb>
    <v>1</v>
  </rv>
  <rv s="0">
    <fb>168.89</fb>
    <v>1</v>
  </rv>
  <rv s="0">
    <fb>160.27000000000001</fb>
    <v>1</v>
  </rv>
  <rv s="0">
    <fb>99.22</fb>
    <v>1</v>
  </rv>
  <rv s="0">
    <fb>44953</fb>
    <v>0</v>
  </rv>
  <rv s="0">
    <fb>145.93</fb>
    <v>1</v>
  </rv>
  <rv s="0">
    <fb>248.16</fb>
    <v>1</v>
  </rv>
  <rv s="0">
    <fb>99.37</fb>
    <v>1</v>
  </rv>
  <rv s="0">
    <fb>151.74</fb>
    <v>1</v>
  </rv>
  <rv s="0">
    <fb>20.364999999999998</fb>
    <v>1</v>
  </rv>
  <rv s="0">
    <fb>140.32</fb>
    <v>1</v>
  </rv>
  <rv s="0">
    <fb>231.44</fb>
    <v>1</v>
  </rv>
  <rv s="0">
    <fb>168.23</fb>
    <v>1</v>
  </rv>
  <rv s="0">
    <fb>177.9</fb>
    <v>1</v>
  </rv>
  <rv s="0">
    <fb>102.24</fb>
    <v>1</v>
  </rv>
  <rv s="0">
    <fb>44956</fb>
    <v>0</v>
  </rv>
  <rv s="0">
    <fb>143</fb>
    <v>1</v>
  </rv>
  <rv s="0">
    <fb>242.71</fb>
    <v>1</v>
  </rv>
  <rv s="0">
    <fb>96.94</fb>
    <v>1</v>
  </rv>
  <rv s="0">
    <fb>147.06</fb>
    <v>1</v>
  </rv>
  <rv s="0">
    <fb>19.161999999999999</fb>
    <v>1</v>
  </rv>
  <rv s="0">
    <fb>139.13</fb>
    <v>1</v>
  </rv>
  <rv s="0">
    <fb>162</fb>
    <v>1</v>
  </rv>
  <rv s="0">
    <fb>166.66</fb>
    <v>1</v>
  </rv>
  <rv s="0">
    <fb>100.55</fb>
    <v>1</v>
  </rv>
  <rv s="0">
    <fb>44957</fb>
    <v>0</v>
  </rv>
  <rv s="0">
    <fb>144.29</fb>
    <v>1</v>
  </rv>
  <rv s="0">
    <fb>247.81</fb>
    <v>1</v>
  </rv>
  <rv s="0">
    <fb>98.84</fb>
    <v>1</v>
  </rv>
  <rv s="0">
    <fb>148.97</fb>
    <v>1</v>
  </rv>
  <rv s="0">
    <fb>19.536999999999999</fb>
    <v>1</v>
  </rv>
  <rv s="0">
    <fb>139.96</fb>
    <v>1</v>
  </rv>
  <rv s="0">
    <fb>230.21</fb>
    <v>1</v>
  </rv>
  <rv s="0">
    <fb>163.41999999999999</fb>
    <v>1</v>
  </rv>
  <rv s="0">
    <fb>173.22</fb>
    <v>1</v>
  </rv>
  <rv s="0">
    <fb>103.13</fb>
    <v>1</v>
  </rv>
  <rv s="0">
    <fb>44958</fb>
    <v>0</v>
  </rv>
  <rv s="0">
    <fb>145.43</fb>
    <v>1</v>
  </rv>
  <rv s="0">
    <fb>252.75</fb>
    <v>1</v>
  </rv>
  <rv s="0">
    <fb>100.43</fb>
    <v>1</v>
  </rv>
  <rv s="0">
    <fb>153.12</fb>
    <v>1</v>
  </rv>
  <rv s="0">
    <fb>20.943000000000001</fb>
    <v>1</v>
  </rv>
  <rv s="0">
    <fb>139.59</fb>
    <v>1</v>
  </rv>
  <rv s="0">
    <fb>230.9</fb>
    <v>1</v>
  </rv>
  <rv s="0">
    <fb>164.92</fb>
    <v>1</v>
  </rv>
  <rv s="0">
    <fb>181.41</fb>
    <v>1</v>
  </rv>
  <rv s="0">
    <fb>105.15</fb>
    <v>1</v>
  </rv>
  <rv s="0">
    <fb>44959</fb>
    <v>0</v>
  </rv>
  <rv s="0">
    <fb>150.82</fb>
    <v>1</v>
  </rv>
  <rv s="0">
    <fb>264.60000000000002</fb>
    <v>1</v>
  </rv>
  <rv s="0">
    <fb>107.74</fb>
    <v>1</v>
  </rv>
  <rv s="0">
    <fb>188.77</fb>
    <v>1</v>
  </rv>
  <rv s="0">
    <fb>21.709</fb>
    <v>1</v>
  </rv>
  <rv s="0">
    <fb>138.94</fb>
    <v>1</v>
  </rv>
  <rv s="0">
    <fb>229.56</fb>
    <v>1</v>
  </rv>
  <rv s="0">
    <fb>165.54</fb>
    <v>1</v>
  </rv>
  <rv s="0">
    <fb>188.27</fb>
    <v>1</v>
  </rv>
  <rv s="0">
    <fb>112.91</fb>
    <v>1</v>
  </rv>
  <rv s="0">
    <fb>44960</fb>
    <v>0</v>
  </rv>
  <rv s="0">
    <fb>154.5</fb>
    <v>1</v>
  </rv>
  <rv s="0">
    <fb>258.35000000000002</fb>
    <v>1</v>
  </rv>
  <rv s="0">
    <fb>104.78</fb>
    <v>1</v>
  </rv>
  <rv s="0">
    <fb>186.53</fb>
    <v>1</v>
  </rv>
  <rv s="0">
    <fb>21.1</fb>
    <v>1</v>
  </rv>
  <rv s="0">
    <fb>141.09</fb>
    <v>1</v>
  </rv>
  <rv s="0">
    <fb>230.13</fb>
    <v>1</v>
  </rv>
  <rv s="0">
    <fb>164.61</fb>
    <v>1</v>
  </rv>
  <rv s="0">
    <fb>189.98</fb>
    <v>1</v>
  </rv>
  <rv s="0">
    <fb>103.39</fb>
    <v>1</v>
  </rv>
  <rv s="0">
    <fb>44963</fb>
    <v>0</v>
  </rv>
  <rv s="0">
    <fb>151.72999999999999</fb>
    <v>1</v>
  </rv>
  <rv s="0">
    <fb>256.77</fb>
    <v>1</v>
  </rv>
  <rv s="0">
    <fb>102.9</fb>
    <v>1</v>
  </rv>
  <rv s="0">
    <fb>186.06</fb>
    <v>1</v>
  </rv>
  <rv s="0">
    <fb>21.088999999999999</fb>
    <v>1</v>
  </rv>
  <rv s="0">
    <fb>141.91999999999999</fb>
    <v>1</v>
  </rv>
  <rv s="0">
    <fb>229.44</fb>
    <v>1</v>
  </rv>
  <rv s="0">
    <fb>163.36000000000001</fb>
    <v>1</v>
  </rv>
  <rv s="0">
    <fb>194.76</fb>
    <v>1</v>
  </rv>
  <rv s="0">
    <fb>102.18</fb>
    <v>1</v>
  </rv>
  <rv s="0">
    <fb>44964</fb>
    <v>0</v>
  </rv>
  <rv s="0">
    <fb>154.65</fb>
    <v>1</v>
  </rv>
  <rv s="0">
    <fb>267.56</fb>
    <v>1</v>
  </rv>
  <rv s="0">
    <fb>107.64</fb>
    <v>1</v>
  </rv>
  <rv s="0">
    <fb>191.62</fb>
    <v>1</v>
  </rv>
  <rv s="0">
    <fb>22.172999999999998</fb>
    <v>1</v>
  </rv>
  <rv s="0">
    <fb>143.65</fb>
    <v>1</v>
  </rv>
  <rv s="0">
    <fb>231.32</fb>
    <v>1</v>
  </rv>
  <rv s="0">
    <fb>163.4</fb>
    <v>1</v>
  </rv>
  <rv s="0">
    <fb>196.81</fb>
    <v>1</v>
  </rv>
  <rv s="0">
    <fb>102.11</fb>
    <v>1</v>
  </rv>
  <rv s="0">
    <fb>44965</fb>
    <v>0</v>
  </rv>
  <rv s="0">
    <fb>151.91999999999999</fb>
    <v>1</v>
  </rv>
  <rv s="0">
    <fb>266.73</fb>
    <v>1</v>
  </rv>
  <rv s="0">
    <fb>183.43</fb>
    <v>1</v>
  </rv>
  <rv s="0">
    <fb>22.204999999999998</fb>
    <v>1</v>
  </rv>
  <rv s="0">
    <fb>142.63999999999999</fb>
    <v>1</v>
  </rv>
  <rv s="0">
    <fb>230.2</fb>
    <v>1</v>
  </rv>
  <rv s="0">
    <fb>163.61000000000001</fb>
    <v>1</v>
  </rv>
  <rv s="0">
    <fb>201.29</fb>
    <v>1</v>
  </rv>
  <rv s="0">
    <fb>100.05</fb>
    <v>1</v>
  </rv>
  <rv s="0">
    <fb>44966</fb>
    <v>0</v>
  </rv>
  <rv s="0">
    <fb>150.87</fb>
    <v>1</v>
  </rv>
  <rv s="0">
    <fb>263.62</fb>
    <v>1</v>
  </rv>
  <rv s="0">
    <fb>95.01</fb>
    <v>1</v>
  </rv>
  <rv s="0">
    <fb>177.92</fb>
    <v>1</v>
  </rv>
  <rv s="0">
    <fb>22.337</fb>
    <v>1</v>
  </rv>
  <rv s="0">
    <fb>140.41999999999999</fb>
    <v>1</v>
  </rv>
  <rv s="0">
    <fb>229.35</fb>
    <v>1</v>
  </rv>
  <rv s="0">
    <fb>161.4</fb>
    <v>1</v>
  </rv>
  <rv s="0">
    <fb>207.32</fb>
    <v>1</v>
  </rv>
  <rv s="0">
    <fb>98.24</fb>
    <v>1</v>
  </rv>
  <rv s="0">
    <fb>44967</fb>
    <v>0</v>
  </rv>
  <rv s="0">
    <fb>151.01</fb>
    <v>1</v>
  </rv>
  <rv s="0">
    <fb>263.10000000000002</fb>
    <v>1</v>
  </rv>
  <rv s="0">
    <fb>94.57</fb>
    <v>1</v>
  </rv>
  <rv s="0">
    <fb>174.15</fb>
    <v>1</v>
  </rv>
  <rv s="0">
    <fb>21.265000000000001</fb>
    <v>1</v>
  </rv>
  <rv s="0">
    <fb>141.04</fb>
    <v>1</v>
  </rv>
  <rv s="0">
    <fb>227.2</fb>
    <v>1</v>
  </rv>
  <rv s="0">
    <fb>162.15</fb>
    <v>1</v>
  </rv>
  <rv s="0">
    <fb>196.89</fb>
    <v>1</v>
  </rv>
  <rv s="0">
    <fb>97.61</fb>
    <v>1</v>
  </rv>
  <rv s="0">
    <fb>44970</fb>
    <v>0</v>
  </rv>
  <rv s="0">
    <fb>153.85</fb>
    <v>1</v>
  </rv>
  <rv s="0">
    <fb>271.32</fb>
    <v>1</v>
  </rv>
  <rv s="0">
    <fb>94.61</fb>
    <v>1</v>
  </rv>
  <rv s="0">
    <fb>179.43</fb>
    <v>1</v>
  </rv>
  <rv s="0">
    <fb>21.788</fb>
    <v>1</v>
  </rv>
  <rv s="0">
    <fb>142.57</fb>
    <v>1</v>
  </rv>
  <rv s="0">
    <fb>228.88</fb>
    <v>1</v>
  </rv>
  <rv s="0">
    <fb>162.75</fb>
    <v>1</v>
  </rv>
  <rv s="0">
    <fb>194.64</fb>
    <v>1</v>
  </rv>
  <rv s="0">
    <fb>99.54</fb>
    <v>1</v>
  </rv>
  <rv s="0">
    <fb>44971</fb>
    <v>0</v>
  </rv>
  <rv s="0">
    <fb>153.19999999999999</fb>
    <v>1</v>
  </rv>
  <rv s="0">
    <fb>272.17</fb>
    <v>1</v>
  </rv>
  <rv s="0">
    <fb>94.68</fb>
    <v>1</v>
  </rv>
  <rv s="0">
    <fb>179.48</fb>
    <v>1</v>
  </rv>
  <rv s="0">
    <fb>22.971</fb>
    <v>1</v>
  </rv>
  <rv s="0">
    <fb>143.19999999999999</fb>
    <v>1</v>
  </rv>
  <rv s="0">
    <fb>229.39</fb>
    <v>1</v>
  </rv>
  <rv s="0">
    <fb>162.04</fb>
    <v>1</v>
  </rv>
  <rv s="0">
    <fb>209.25</fb>
    <v>1</v>
  </rv>
  <rv s="0">
    <fb>99.7</fb>
    <v>1</v>
  </rv>
  <rv s="0">
    <fb>44972</fb>
    <v>0</v>
  </rv>
  <rv s="0">
    <fb>155.33000000000001</fb>
    <v>1</v>
  </rv>
  <rv s="0">
    <fb>269.32</fb>
    <v>1</v>
  </rv>
  <rv s="0">
    <fb>177.16</fb>
    <v>1</v>
  </rv>
  <rv s="0">
    <fb>22.763999999999999</fb>
    <v>1</v>
  </rv>
  <rv s="0">
    <fb>143.80000000000001</fb>
    <v>1</v>
  </rv>
  <rv s="0">
    <fb>228.92</fb>
    <v>1</v>
  </rv>
  <rv s="0">
    <fb>159.37</fb>
    <v>1</v>
  </rv>
  <rv s="0">
    <fb>214.24</fb>
    <v>1</v>
  </rv>
  <rv s="0">
    <fb>101.16</fb>
    <v>1</v>
  </rv>
  <rv s="0">
    <fb>44973</fb>
    <v>0</v>
  </rv>
  <rv s="0">
    <fb>153.71</fb>
    <v>1</v>
  </rv>
  <rv s="0">
    <fb>262.14999999999998</fb>
    <v>1</v>
  </rv>
  <rv s="0">
    <fb>95.51</fb>
    <v>1</v>
  </rv>
  <rv s="0">
    <fb>172.44</fb>
    <v>1</v>
  </rv>
  <rv s="0">
    <fb>22.001999999999999</fb>
    <v>1</v>
  </rv>
  <rv s="0">
    <fb>141.82</fb>
    <v>1</v>
  </rv>
  <rv s="0">
    <fb>225.83</fb>
    <v>1</v>
  </rv>
  <rv s="0">
    <fb>158.24</fb>
    <v>1</v>
  </rv>
  <rv s="0">
    <fb>202.04</fb>
    <v>1</v>
  </rv>
  <rv s="0">
    <fb>98.15</fb>
    <v>1</v>
  </rv>
  <rv s="0">
    <fb>44974</fb>
    <v>0</v>
  </rv>
  <rv s="0">
    <fb>152.55000000000001</fb>
    <v>1</v>
  </rv>
  <rv s="0">
    <fb>258.06</fb>
    <v>1</v>
  </rv>
  <rv s="0">
    <fb>94.35</fb>
    <v>1</v>
  </rv>
  <rv s="0">
    <fb>172.88</fb>
    <v>1</v>
  </rv>
  <rv s="0">
    <fb>21.388000000000002</fb>
    <v>1</v>
  </rv>
  <rv s="0">
    <fb>142.24</fb>
    <v>1</v>
  </rv>
  <rv s="0">
    <fb>223.56</fb>
    <v>1</v>
  </rv>
  <rv s="0">
    <fb>160.38999999999999</fb>
    <v>1</v>
  </rv>
  <rv s="0">
    <fb>208.31</fb>
    <v>1</v>
  </rv>
  <rv s="0">
    <fb>97.2</fb>
    <v>1</v>
  </rv>
  <rv s="0">
    <fb>44978</fb>
    <v>0</v>
  </rv>
  <rv s="0">
    <fb>148.47999999999999</fb>
    <v>1</v>
  </rv>
  <rv s="0">
    <fb>252.67</fb>
    <v>1</v>
  </rv>
  <rv s="0">
    <fb>91.79</fb>
    <v>1</v>
  </rv>
  <rv s="0">
    <fb>172.08</fb>
    <v>1</v>
  </rv>
  <rv s="0">
    <fb>20.655000000000001</fb>
    <v>1</v>
  </rv>
  <rv s="0">
    <fb>220.62</fb>
    <v>1</v>
  </rv>
  <rv s="0">
    <fb>158</fb>
    <v>1</v>
  </rv>
  <rv s="0">
    <fb>197.37</fb>
    <v>1</v>
  </rv>
  <rv s="0">
    <fb>94.58</fb>
    <v>1</v>
  </rv>
  <rv s="0">
    <fb>44979</fb>
    <v>0</v>
  </rv>
  <rv s="0">
    <fb>148.91</fb>
    <v>1</v>
  </rv>
  <rv s="0">
    <fb>251.51</fb>
    <v>1</v>
  </rv>
  <rv s="0">
    <fb>91.65</fb>
    <v>1</v>
  </rv>
  <rv s="0">
    <fb>171.12</fb>
    <v>1</v>
  </rv>
  <rv s="0">
    <fb>20.754000000000001</fb>
    <v>1</v>
  </rv>
  <rv s="0">
    <fb>138.56</fb>
    <v>1</v>
  </rv>
  <rv s="0">
    <fb>220.02</fb>
    <v>1</v>
  </rv>
  <rv s="0">
    <fb>157.78</fb>
    <v>1</v>
  </rv>
  <rv s="0">
    <fb>200.86</fb>
    <v>1</v>
  </rv>
  <rv s="0">
    <fb>95.79</fb>
    <v>1</v>
  </rv>
  <rv s="0">
    <fb>44980</fb>
    <v>0</v>
  </rv>
  <rv s="0">
    <fb>149.4</fb>
    <v>1</v>
  </rv>
  <rv s="0">
    <fb>254.77</fb>
    <v>1</v>
  </rv>
  <rv s="0">
    <fb>90.89</fb>
    <v>1</v>
  </rv>
  <rv s="0">
    <fb>172.04</fb>
    <v>1</v>
  </rv>
  <rv s="0">
    <fb>23.664000000000001</fb>
    <v>1</v>
  </rv>
  <rv s="0">
    <fb>139.66999999999999</fb>
    <v>1</v>
  </rv>
  <rv s="0">
    <fb>221.13</fb>
    <v>1</v>
  </rv>
  <rv s="0">
    <fb>157.72999999999999</fb>
    <v>1</v>
  </rv>
  <rv s="0">
    <fb>202.07</fb>
    <v>1</v>
  </rv>
  <rv s="0">
    <fb>95.82</fb>
    <v>1</v>
  </rv>
  <rv s="0">
    <fb>44981</fb>
    <v>0</v>
  </rv>
  <rv s="0">
    <fb>146.71</fb>
    <v>1</v>
  </rv>
  <rv s="0">
    <fb>249.22</fb>
    <v>1</v>
  </rv>
  <rv s="0">
    <fb>89.13</fb>
    <v>1</v>
  </rv>
  <rv s="0">
    <fb>170.39</fb>
    <v>1</v>
  </rv>
  <rv s="0">
    <fb>23.286000000000001</fb>
    <v>1</v>
  </rv>
  <rv s="0">
    <fb>140.93</fb>
    <v>1</v>
  </rv>
  <rv s="0">
    <fb>219.55</fb>
    <v>1</v>
  </rv>
  <rv s="0">
    <fb>155.97</fb>
    <v>1</v>
  </rv>
  <rv s="0">
    <fb>196.88</fb>
    <v>1</v>
  </rv>
  <rv s="0">
    <fb>93.5</fb>
    <v>1</v>
  </rv>
  <rv s="0">
    <fb>44984</fb>
    <v>0</v>
  </rv>
  <rv s="0">
    <fb>147.91999999999999</fb>
    <v>1</v>
  </rv>
  <rv s="0">
    <fb>250.16</fb>
    <v>1</v>
  </rv>
  <rv s="0">
    <fb>169.54</fb>
    <v>1</v>
  </rv>
  <rv s="0">
    <fb>23.501000000000001</fb>
    <v>1</v>
  </rv>
  <rv s="0">
    <fb>142.16</fb>
    <v>1</v>
  </rv>
  <rv s="0">
    <fb>220.35</fb>
    <v>1</v>
  </rv>
  <rv s="0">
    <fb>155.63</fb>
    <v>1</v>
  </rv>
  <rv s="0">
    <fb>207.63</fb>
    <v>1</v>
  </rv>
  <rv s="0">
    <fb>93.76</fb>
    <v>1</v>
  </rv>
  <rv s="0">
    <fb>44985</fb>
    <v>0</v>
  </rv>
  <rv s="0">
    <fb>147.41</fb>
    <v>1</v>
  </rv>
  <rv s="0">
    <fb>249.42</fb>
    <v>1</v>
  </rv>
  <rv s="0">
    <fb>90.06</fb>
    <v>1</v>
  </rv>
  <rv s="0">
    <fb>174.94</fb>
    <v>1</v>
  </rv>
  <rv s="0">
    <fb>23.216000000000001</fb>
    <v>1</v>
  </rv>
  <rv s="0">
    <fb>143.35</fb>
    <v>1</v>
  </rv>
  <rv s="0">
    <fb>219.94</fb>
    <v>1</v>
  </rv>
  <rv s="0">
    <fb>153.26</fb>
    <v>1</v>
  </rv>
  <rv s="0">
    <fb>205.71</fb>
    <v>1</v>
  </rv>
  <rv s="0">
    <fb>94.23</fb>
    <v>1</v>
  </rv>
  <rv s="0">
    <fb>44986</fb>
    <v>0</v>
  </rv>
  <rv s="0">
    <fb>145.31</fb>
    <v>1</v>
  </rv>
  <rv s="0">
    <fb>246.27</fb>
    <v>1</v>
  </rv>
  <rv s="0">
    <fb>90.36</fb>
    <v>1</v>
  </rv>
  <rv s="0">
    <fb>173.42</fb>
    <v>1</v>
  </rv>
  <rv s="0">
    <fb>22.698</fb>
    <v>1</v>
  </rv>
  <rv s="0">
    <fb>142.55000000000001</fb>
    <v>1</v>
  </rv>
  <rv s="0">
    <fb>218.36</fb>
    <v>1</v>
  </rv>
  <rv s="0">
    <fb>152.57</fb>
    <v>1</v>
  </rv>
  <rv s="0">
    <fb>202.77</fb>
    <v>1</v>
  </rv>
  <rv s="0">
    <fb>92.17</fb>
    <v>1</v>
  </rv>
  <rv s="0">
    <fb>44987</fb>
    <v>0</v>
  </rv>
  <rv s="0">
    <fb>145.91</fb>
    <v>1</v>
  </rv>
  <rv s="0">
    <fb>251.11</fb>
    <v>1</v>
  </rv>
  <rv s="0">
    <fb>92</fb>
    <v>1</v>
  </rv>
  <rv s="0">
    <fb>174.53</fb>
    <v>1</v>
  </rv>
  <rv s="0">
    <fb>23.314</fb>
    <v>1</v>
  </rv>
  <rv s="0">
    <fb>141.07</fb>
    <v>1</v>
  </rv>
  <rv s="0">
    <fb>219.06</fb>
    <v>1</v>
  </rv>
  <rv s="0">
    <fb>152.44999999999999</fb>
    <v>1</v>
  </rv>
  <rv s="0">
    <fb>190.9</fb>
    <v>1</v>
  </rv>
  <rv s="0">
    <fb>92.13</fb>
    <v>1</v>
  </rv>
  <rv s="0">
    <fb>44988</fb>
    <v>0</v>
  </rv>
  <rv s="0">
    <fb>151.03</fb>
    <v>1</v>
  </rv>
  <rv s="0">
    <fb>255.29</fb>
    <v>1</v>
  </rv>
  <rv s="0">
    <fb>93.65</fb>
    <v>1</v>
  </rv>
  <rv s="0">
    <fb>185.25</fb>
    <v>1</v>
  </rv>
  <rv s="0">
    <fb>23.89</fb>
    <v>1</v>
  </rv>
  <rv s="0">
    <fb>143.66</fb>
    <v>1</v>
  </rv>
  <rv s="0">
    <fb>223.77</fb>
    <v>1</v>
  </rv>
  <rv s="0">
    <fb>154.02000000000001</fb>
    <v>1</v>
  </rv>
  <rv s="0">
    <fb>197.79</fb>
    <v>1</v>
  </rv>
  <rv s="0">
    <fb>94.9</fb>
    <v>1</v>
  </rv>
  <rv s="0">
    <fb>44991</fb>
    <v>0</v>
  </rv>
  <rv s="0">
    <fb>153.83000000000001</fb>
    <v>1</v>
  </rv>
  <rv s="0">
    <fb>256.87</fb>
    <v>1</v>
  </rv>
  <rv s="0">
    <fb>95.13</fb>
    <v>1</v>
  </rv>
  <rv s="0">
    <fb>184.9</fb>
    <v>1</v>
  </rv>
  <rv s="0">
    <fb>23.553999999999998</fb>
    <v>1</v>
  </rv>
  <rv s="0">
    <fb>142.82</fb>
    <v>1</v>
  </rv>
  <rv s="0">
    <fb>226.75</fb>
    <v>1</v>
  </rv>
  <rv s="0">
    <fb>155.56</fb>
    <v>1</v>
  </rv>
  <rv s="0">
    <fb>193.81</fb>
    <v>1</v>
  </rv>
  <rv s="0">
    <fb>93.75</fb>
    <v>1</v>
  </rv>
  <rv s="0">
    <fb>44992</fb>
    <v>0</v>
  </rv>
  <rv s="0">
    <fb>151.6</fb>
    <v>1</v>
  </rv>
  <rv s="0">
    <fb>254.15</fb>
    <v>1</v>
  </rv>
  <rv s="0">
    <fb>93.86</fb>
    <v>1</v>
  </rv>
  <rv s="0">
    <fb>184.51</fb>
    <v>1</v>
  </rv>
  <rv s="0">
    <fb>23.288</fb>
    <v>1</v>
  </rv>
  <rv s="0">
    <fb>138.62</fb>
    <v>1</v>
  </rv>
  <rv s="0">
    <fb>223.17</fb>
    <v>1</v>
  </rv>
  <rv s="0">
    <fb>154.09</fb>
    <v>1</v>
  </rv>
  <rv s="0">
    <fb>187.71</fb>
    <v>1</v>
  </rv>
  <rv s="0">
    <fb>93.55</fb>
    <v>1</v>
  </rv>
  <rv s="0">
    <fb>44993</fb>
    <v>0</v>
  </rv>
  <rv s="0">
    <fb>152.87</fb>
    <v>1</v>
  </rv>
  <rv s="0">
    <fb>253.7</fb>
    <v>1</v>
  </rv>
  <rv s="0">
    <fb>94.25</fb>
    <v>1</v>
  </rv>
  <rv s="0">
    <fb>184.97</fb>
    <v>1</v>
  </rv>
  <rv s="0">
    <fb>24.181000000000001</fb>
    <v>1</v>
  </rv>
  <rv s="0">
    <fb>137.80000000000001</fb>
    <v>1</v>
  </rv>
  <rv s="0">
    <fb>222.19</fb>
    <v>1</v>
  </rv>
  <rv s="0">
    <fb>152.96</fb>
    <v>1</v>
  </rv>
  <rv s="0">
    <fb>182</fb>
    <v>1</v>
  </rv>
  <rv s="0">
    <fb>93.92</fb>
    <v>1</v>
  </rv>
  <rv s="0">
    <fb>44994</fb>
    <v>0</v>
  </rv>
  <rv s="0">
    <fb>150.59</fb>
    <v>1</v>
  </rv>
  <rv s="0">
    <fb>252.32</fb>
    <v>1</v>
  </rv>
  <rv s="0">
    <fb>92.32</fb>
    <v>1</v>
  </rv>
  <rv s="0">
    <fb>181.69</fb>
    <v>1</v>
  </rv>
  <rv s="0">
    <fb>23.436</fb>
    <v>1</v>
  </rv>
  <rv s="0">
    <fb>130.34</fb>
    <v>1</v>
  </rv>
  <rv s="0">
    <fb>220.01</fb>
    <v>1</v>
  </rv>
  <rv s="0">
    <fb>151.24</fb>
    <v>1</v>
  </rv>
  <rv s="0">
    <fb>172.92</fb>
    <v>1</v>
  </rv>
  <rv s="0">
    <fb>92.25</fb>
    <v>1</v>
  </rv>
  <rv s="0">
    <fb>44995</fb>
    <v>0</v>
  </rv>
  <rv s="0">
    <fb>148.5</fb>
    <v>1</v>
  </rv>
  <rv s="0">
    <fb>248.59</fb>
    <v>1</v>
  </rv>
  <rv s="0">
    <fb>90.63</fb>
    <v>1</v>
  </rv>
  <rv s="0">
    <fb>179.51</fb>
    <v>1</v>
  </rv>
  <rv s="0">
    <fb>22.965</fb>
    <v>1</v>
  </rv>
  <rv s="0">
    <fb>133.65</fb>
    <v>1</v>
  </rv>
  <rv s="0">
    <fb>216.14</fb>
    <v>1</v>
  </rv>
  <rv s="0">
    <fb>151.61000000000001</fb>
    <v>1</v>
  </rv>
  <rv s="0">
    <fb>173.44</fb>
    <v>1</v>
  </rv>
  <rv s="0">
    <fb>90.73</fb>
    <v>1</v>
  </rv>
  <rv s="0">
    <fb>44998</fb>
    <v>0</v>
  </rv>
  <rv s="0">
    <fb>150.47</fb>
    <v>1</v>
  </rv>
  <rv s="0">
    <fb>253.92</fb>
    <v>1</v>
  </rv>
  <rv s="0">
    <fb>91.11</fb>
    <v>1</v>
  </rv>
  <rv s="0">
    <fb>180.9</fb>
    <v>1</v>
  </rv>
  <rv s="0">
    <fb>22.966000000000001</fb>
    <v>1</v>
  </rv>
  <rv s="0">
    <fb>131.25</fb>
    <v>1</v>
  </rv>
  <rv s="0">
    <fb>214.47</fb>
    <v>1</v>
  </rv>
  <rv s="0">
    <fb>153.06</fb>
    <v>1</v>
  </rv>
  <rv s="0">
    <fb>174.48</fb>
    <v>1</v>
  </rv>
  <rv s="0">
    <fb>92.43</fb>
    <v>1</v>
  </rv>
  <rv s="0">
    <fb>44999</fb>
    <v>0</v>
  </rv>
  <rv s="0">
    <fb>152.59</fb>
    <v>1</v>
  </rv>
  <rv s="0">
    <fb>260.79000000000002</fb>
    <v>1</v>
  </rv>
  <rv s="0">
    <fb>93.97</fb>
    <v>1</v>
  </rv>
  <rv s="0">
    <fb>194.02</fb>
    <v>1</v>
  </rv>
  <rv s="0">
    <fb>24.062999999999999</fb>
    <v>1</v>
  </rv>
  <rv s="0">
    <fb>134.62</fb>
    <v>1</v>
  </rv>
  <rv s="0">
    <fb>218.66</fb>
    <v>1</v>
  </rv>
  <rv s="0">
    <fb>153.91999999999999</fb>
    <v>1</v>
  </rv>
  <rv s="0">
    <fb>183.26</fb>
    <v>1</v>
  </rv>
  <rv s="0">
    <fb>94.88</fb>
    <v>1</v>
  </rv>
  <rv s="0">
    <fb>45000</fb>
    <v>0</v>
  </rv>
  <rv s="0">
    <fb>152.99</fb>
    <v>1</v>
  </rv>
  <rv s="0">
    <fb>265.44</fb>
    <v>1</v>
  </rv>
  <rv s="0">
    <fb>96.11</fb>
    <v>1</v>
  </rv>
  <rv s="0">
    <fb>197.75</fb>
    <v>1</v>
  </rv>
  <rv s="0">
    <fb>24.228000000000002</fb>
    <v>1</v>
  </rv>
  <rv s="0">
    <fb>128.26</fb>
    <v>1</v>
  </rv>
  <rv s="0">
    <fb>216.37</fb>
    <v>1</v>
  </rv>
  <rv s="0">
    <fb>154.35</fb>
    <v>1</v>
  </rv>
  <rv s="0">
    <fb>180.45</fb>
    <v>1</v>
  </rv>
  <rv s="0">
    <fb>96.2</fb>
    <v>1</v>
  </rv>
  <rv s="0">
    <fb>45001</fb>
    <v>0</v>
  </rv>
  <rv s="0">
    <fb>155.85</fb>
    <v>1</v>
  </rv>
  <rv s="0">
    <fb>276.2</fb>
    <v>1</v>
  </rv>
  <rv s="0">
    <fb>100.32</fb>
    <v>1</v>
  </rv>
  <rv s="0">
    <fb>204.93</fb>
    <v>1</v>
  </rv>
  <rv s="0">
    <fb>25.541</fb>
    <v>1</v>
  </rv>
  <rv s="0">
    <fb>130.75</fb>
    <v>1</v>
  </rv>
  <rv s="0">
    <fb>217.45</fb>
    <v>1</v>
  </rv>
  <rv s="0">
    <fb>154.03</fb>
    <v>1</v>
  </rv>
  <rv s="0">
    <fb>184.13</fb>
    <v>1</v>
  </rv>
  <rv s="0">
    <fb>100.04</fb>
    <v>1</v>
  </rv>
  <rv s="0">
    <fb>45002</fb>
    <v>0</v>
  </rv>
  <rv s="0">
    <fb>155</fb>
    <v>1</v>
  </rv>
  <rv s="0">
    <fb>279.43</fb>
    <v>1</v>
  </rv>
  <rv s="0">
    <fb>101.62</fb>
    <v>1</v>
  </rv>
  <rv s="0">
    <fb>195.61</fb>
    <v>1</v>
  </rv>
  <rv s="0">
    <fb>25.725000000000001</fb>
    <v>1</v>
  </rv>
  <rv s="0">
    <fb>125.81</fb>
    <v>1</v>
  </rv>
  <rv s="0">
    <fb>217.39</fb>
    <v>1</v>
  </rv>
  <rv s="0">
    <fb>152.38</fb>
    <v>1</v>
  </rv>
  <rv s="0">
    <fb>98.95</fb>
    <v>1</v>
  </rv>
  <rv s="0">
    <fb>45005</fb>
    <v>0</v>
  </rv>
  <rv s="0">
    <fb>157.4</fb>
    <v>1</v>
  </rv>
  <rv s="0">
    <fb>272.23</fb>
    <v>1</v>
  </rv>
  <rv s="0">
    <fb>101.22</fb>
    <v>1</v>
  </rv>
  <rv s="0">
    <fb>197.81</fb>
    <v>1</v>
  </rv>
  <rv s="0">
    <fb>25.9</fb>
    <v>1</v>
  </rv>
  <rv s="0">
    <fb>127.14</fb>
    <v>1</v>
  </rv>
  <rv s="0">
    <fb>218.15</fb>
    <v>1</v>
  </rv>
  <rv s="0">
    <fb>153.88999999999999</fb>
    <v>1</v>
  </rv>
  <rv s="0">
    <fb>183.25</fb>
    <v>1</v>
  </rv>
  <rv s="0">
    <fb>97.71</fb>
    <v>1</v>
  </rv>
  <rv s="0">
    <fb>45006</fb>
    <v>0</v>
  </rv>
  <rv s="0">
    <fb>159.28</fb>
    <v>1</v>
  </rv>
  <rv s="0">
    <fb>273.77999999999997</fb>
    <v>1</v>
  </rv>
  <rv s="0">
    <fb>104.92</fb>
    <v>1</v>
  </rv>
  <rv s="0">
    <fb>202.16</fb>
    <v>1</v>
  </rv>
  <rv s="0">
    <fb>26.199000000000002</fb>
    <v>1</v>
  </rv>
  <rv s="0">
    <fb>130.55000000000001</fb>
    <v>1</v>
  </rv>
  <rv s="0">
    <fb>221.95</fb>
    <v>1</v>
  </rv>
  <rv s="0">
    <fb>197.58</fb>
    <v>1</v>
  </rv>
  <rv s="0">
    <fb>100.61</fb>
    <v>1</v>
  </rv>
  <rv s="0">
    <fb>45007</fb>
    <v>0</v>
  </rv>
  <rv s="0">
    <fb>157.83000000000001</fb>
    <v>1</v>
  </rv>
  <rv s="0">
    <fb>272.29000000000002</fb>
    <v>1</v>
  </rv>
  <rv s="0">
    <fb>103.37</fb>
    <v>1</v>
  </rv>
  <rv s="0">
    <fb>199.81</fb>
    <v>1</v>
  </rv>
  <rv s="0">
    <fb>26.468</fb>
    <v>1</v>
  </rv>
  <rv s="0">
    <fb>127.18</fb>
    <v>1</v>
  </rv>
  <rv s="0">
    <fb>220.04</fb>
    <v>1</v>
  </rv>
  <rv s="0">
    <fb>151.05000000000001</fb>
    <v>1</v>
  </rv>
  <rv s="0">
    <fb>191.15</fb>
    <v>1</v>
  </rv>
  <rv s="0">
    <fb>98.7</fb>
    <v>1</v>
  </rv>
  <rv s="0">
    <fb>45008</fb>
    <v>0</v>
  </rv>
  <rv s="0">
    <fb>158.93</fb>
    <v>1</v>
  </rv>
  <rv s="0">
    <fb>277.66000000000003</fb>
    <v>1</v>
  </rv>
  <rv s="0">
    <fb>105.6</fb>
    <v>1</v>
  </rv>
  <rv s="0">
    <fb>204.28</fb>
    <v>1</v>
  </rv>
  <rv s="0">
    <fb>27.190999999999999</fb>
    <v>1</v>
  </rv>
  <rv s="0">
    <fb>126.84</fb>
    <v>1</v>
  </rv>
  <rv s="0">
    <fb>222.59</fb>
    <v>1</v>
  </rv>
  <rv s="0">
    <fb>151.13</fb>
    <v>1</v>
  </rv>
  <rv s="0">
    <fb>192.22</fb>
    <v>1</v>
  </rv>
  <rv s="0">
    <fb>98.71</fb>
    <v>1</v>
  </rv>
  <rv s="0">
    <fb>45009</fb>
    <v>0</v>
  </rv>
  <rv s="0">
    <fb>160.25</fb>
    <v>1</v>
  </rv>
  <rv s="0">
    <fb>280.57</fb>
    <v>1</v>
  </rv>
  <rv s="0">
    <fb>105.44</fb>
    <v>1</v>
  </rv>
  <rv s="0">
    <fb>206.01</fb>
    <v>1</v>
  </rv>
  <rv s="0">
    <fb>26.779</fb>
    <v>1</v>
  </rv>
  <rv s="0">
    <fb>124.91</fb>
    <v>1</v>
  </rv>
  <rv s="0">
    <fb>221.04</fb>
    <v>1</v>
  </rv>
  <rv s="0">
    <fb>152.65</fb>
    <v>1</v>
  </rv>
  <rv s="0">
    <fb>190.41</fb>
    <v>1</v>
  </rv>
  <rv s="0">
    <fb>98.13</fb>
    <v>1</v>
  </rv>
  <rv s="0">
    <fb>45012</fb>
    <v>0</v>
  </rv>
  <rv s="0">
    <fb>158.28</fb>
    <v>1</v>
  </rv>
  <rv s="0">
    <fb>276.38</fb>
    <v>1</v>
  </rv>
  <rv s="0">
    <fb>102.46</fb>
    <v>1</v>
  </rv>
  <rv s="0">
    <fb>202.84</fb>
    <v>1</v>
  </rv>
  <rv s="0">
    <fb>26.530999999999999</fb>
    <v>1</v>
  </rv>
  <rv s="0">
    <fb>128.49</fb>
    <v>1</v>
  </rv>
  <rv s="0">
    <fb>221.81</fb>
    <v>1</v>
  </rv>
  <rv s="0">
    <fb>153.30000000000001</fb>
    <v>1</v>
  </rv>
  <rv s="0">
    <fb>191.81</fb>
    <v>1</v>
  </rv>
  <rv s="0">
    <fb>98.04</fb>
    <v>1</v>
  </rv>
  <rv s="0">
    <fb>45013</fb>
    <v>0</v>
  </rv>
  <rv s="0">
    <fb>157.65</fb>
    <v>1</v>
  </rv>
  <rv s="0">
    <fb>275.23</fb>
    <v>1</v>
  </rv>
  <rv s="0">
    <fb>101.03</fb>
    <v>1</v>
  </rv>
  <rv s="0">
    <fb>200.68</fb>
    <v>1</v>
  </rv>
  <rv s="0">
    <fb>26.41</fb>
    <v>1</v>
  </rv>
  <rv s="0">
    <fb>128.88</fb>
    <v>1</v>
  </rv>
  <rv s="0">
    <fb>220.33</fb>
    <v>1</v>
  </rv>
  <rv s="0">
    <fb>151.82</fb>
    <v>1</v>
  </rv>
  <rv s="0">
    <fb>189.19</fb>
    <v>1</v>
  </rv>
  <rv s="0">
    <fb>97.24</fb>
    <v>1</v>
  </rv>
  <rv s="0">
    <fb>45014</fb>
    <v>0</v>
  </rv>
  <rv s="0">
    <fb>160.77000000000001</fb>
    <v>1</v>
  </rv>
  <rv s="0">
    <fb>280.51</fb>
    <v>1</v>
  </rv>
  <rv s="0">
    <fb>101.39</fb>
    <v>1</v>
  </rv>
  <rv s="0">
    <fb>205.35</fb>
    <v>1</v>
  </rv>
  <rv s="0">
    <fb>26.984000000000002</fb>
    <v>1</v>
  </rv>
  <rv s="0">
    <fb>129.13999999999999</fb>
    <v>1</v>
  </rv>
  <rv s="0">
    <fb>223.3</fb>
    <v>1</v>
  </rv>
  <rv s="0">
    <fb>153.31</fb>
    <v>1</v>
  </rv>
  <rv s="0">
    <fb>193.88</fb>
    <v>1</v>
  </rv>
  <rv s="0">
    <fb>100.25</fb>
    <v>1</v>
  </rv>
  <rv s="0">
    <fb>45015</fb>
    <v>0</v>
  </rv>
  <rv s="0">
    <fb>162.36000000000001</fb>
    <v>1</v>
  </rv>
  <rv s="0">
    <fb>284.05</fb>
    <v>1</v>
  </rv>
  <rv s="0">
    <fb>100.89</fb>
    <v>1</v>
  </rv>
  <rv s="0">
    <fb>207.84</fb>
    <v>1</v>
  </rv>
  <rv s="0">
    <fb>27.382999999999999</fb>
    <v>1</v>
  </rv>
  <rv s="0">
    <fb>128.75</fb>
    <v>1</v>
  </rv>
  <rv s="0">
    <fb>222.36</fb>
    <v>1</v>
  </rv>
  <rv s="0">
    <fb>153.43</fb>
    <v>1</v>
  </rv>
  <rv s="0">
    <fb>195.28</fb>
    <v>1</v>
  </rv>
  <rv s="0">
    <fb>102</fb>
    <v>1</v>
  </rv>
  <rv s="0">
    <fb>45016</fb>
    <v>0</v>
  </rv>
  <rv s="0">
    <fb>164.9</fb>
    <v>1</v>
  </rv>
  <rv s="0">
    <fb>288.3</fb>
    <v>1</v>
  </rv>
  <rv s="0">
    <fb>103.73</fb>
    <v>1</v>
  </rv>
  <rv s="0">
    <fb>211.94</fb>
    <v>1</v>
  </rv>
  <rv s="0">
    <fb>27.777000000000001</fb>
    <v>1</v>
  </rv>
  <rv s="0">
    <fb>130.31</fb>
    <v>1</v>
  </rv>
  <rv s="0">
    <fb>225.46</fb>
    <v>1</v>
  </rv>
  <rv s="0">
    <fb>207.46</fb>
    <v>1</v>
  </rv>
  <rv s="0">
    <fb>103.29</fb>
    <v>1</v>
  </rv>
  <rv s="0">
    <fb>45019</fb>
    <v>0</v>
  </rv>
  <rv s="0">
    <fb>166.17</fb>
    <v>1</v>
  </rv>
  <rv s="0">
    <fb>287.23</fb>
    <v>1</v>
  </rv>
  <rv s="0">
    <fb>104.36</fb>
    <v>1</v>
  </rv>
  <rv s="0">
    <fb>213.07</fb>
    <v>1</v>
  </rv>
  <rv s="0">
    <fb>27.965</fb>
    <v>1</v>
  </rv>
  <rv s="0">
    <fb>130.16</fb>
    <v>1</v>
  </rv>
  <rv s="0">
    <fb>229</fb>
    <v>1</v>
  </rv>
  <rv s="0">
    <fb>156.85</fb>
    <v>1</v>
  </rv>
  <rv s="0">
    <fb>194.77</fb>
    <v>1</v>
  </rv>
  <rv s="0">
    <fb>102.41</fb>
    <v>1</v>
  </rv>
  <rv s="0">
    <fb>45020</fb>
    <v>0</v>
  </rv>
  <rv s="0">
    <fb>165.63</fb>
    <v>1</v>
  </rv>
  <rv s="0">
    <fb>287.18</fb>
    <v>1</v>
  </rv>
  <rv s="0">
    <fb>104.72</fb>
    <v>1</v>
  </rv>
  <rv s="0">
    <fb>214.72</fb>
    <v>1</v>
  </rv>
  <rv s="0">
    <fb>27.452999999999999</fb>
    <v>1</v>
  </rv>
  <rv s="0">
    <fb>128.41999999999999</fb>
    <v>1</v>
  </rv>
  <rv s="0">
    <fb>227.66</fb>
    <v>1</v>
  </rv>
  <rv s="0">
    <fb>158.49</fb>
    <v>1</v>
  </rv>
  <rv s="0">
    <fb>192.58</fb>
    <v>1</v>
  </rv>
  <rv s="0">
    <fb>103.95</fb>
    <v>1</v>
  </rv>
  <rv s="0">
    <fb>45021</fb>
    <v>0</v>
  </rv>
  <rv s="0">
    <fb>163.76</fb>
    <v>1</v>
  </rv>
  <rv s="0">
    <fb>284.33999999999997</fb>
    <v>1</v>
  </rv>
  <rv s="0">
    <fb>104.47</fb>
    <v>1</v>
  </rv>
  <rv s="0">
    <fb>211.48</fb>
    <v>1</v>
  </rv>
  <rv s="0">
    <fb>26.881</fb>
    <v>1</v>
  </rv>
  <rv s="0">
    <fb>127.61</fb>
    <v>1</v>
  </rv>
  <rv s="0">
    <fb>228.17</fb>
    <v>1</v>
  </rv>
  <rv s="0">
    <fb>165.61</fb>
    <v>1</v>
  </rv>
  <rv s="0">
    <fb>185.52</fb>
    <v>1</v>
  </rv>
  <rv s="0">
    <fb>101.1</fb>
    <v>1</v>
  </rv>
  <rv s="0">
    <fb>45022</fb>
    <v>0</v>
  </rv>
  <rv s="0">
    <fb>164.66</fb>
    <v>1</v>
  </rv>
  <rv s="0">
    <fb>291.60000000000002</fb>
    <v>1</v>
  </rv>
  <rv s="0">
    <fb>108.42</fb>
    <v>1</v>
  </rv>
  <rv s="0">
    <fb>216.1</fb>
    <v>1</v>
  </rv>
  <rv s="0">
    <fb>27.036999999999999</fb>
    <v>1</v>
  </rv>
  <rv s="0">
    <fb>127.47</fb>
    <v>1</v>
  </rv>
  <rv s="0">
    <fb>225.99</fb>
    <v>1</v>
  </rv>
  <rv s="0">
    <fb>165.15</fb>
    <v>1</v>
  </rv>
  <rv s="0">
    <fb>185.06</fb>
    <v>1</v>
  </rv>
  <rv s="0">
    <fb>102.06</fb>
    <v>1</v>
  </rv>
  <rv s="0">
    <fb>45026</fb>
    <v>0</v>
  </rv>
  <rv s="0">
    <fb>162.03</fb>
    <v>1</v>
  </rv>
  <rv s="0">
    <fb>289.39</fb>
    <v>1</v>
  </rv>
  <rv s="0">
    <fb>106.44</fb>
    <v>1</v>
  </rv>
  <rv s="0">
    <fb>214.75</fb>
    <v>1</v>
  </rv>
  <rv s="0">
    <fb>27.579000000000001</fb>
    <v>1</v>
  </rv>
  <rv s="0">
    <fb>127.89</fb>
    <v>1</v>
  </rv>
  <rv s="0">
    <fb>226.43</fb>
    <v>1</v>
  </rv>
  <rv s="0">
    <fb>164.32</fb>
    <v>1</v>
  </rv>
  <rv s="0">
    <fb>102.17</fb>
    <v>1</v>
  </rv>
  <rv s="0">
    <fb>45027</fb>
    <v>0</v>
  </rv>
  <rv s="0">
    <fb>160.80000000000001</fb>
    <v>1</v>
  </rv>
  <rv s="0">
    <fb>282.83</fb>
    <v>1</v>
  </rv>
  <rv s="0">
    <fb>105.35</fb>
    <v>1</v>
  </rv>
  <rv s="0">
    <fb>213.85</fb>
    <v>1</v>
  </rv>
  <rv s="0">
    <fb>27.169</fb>
    <v>1</v>
  </rv>
  <rv s="0">
    <fb>128.52000000000001</fb>
    <v>1</v>
  </rv>
  <rv s="0">
    <fb>228.45</fb>
    <v>1</v>
  </rv>
  <rv s="0">
    <fb>164.27</fb>
    <v>1</v>
  </rv>
  <rv s="0">
    <fb>186.79</fb>
    <v>1</v>
  </rv>
  <rv s="0">
    <fb>99.92</fb>
    <v>1</v>
  </rv>
  <rv s="0">
    <fb>45028</fb>
    <v>0</v>
  </rv>
  <rv s="0">
    <fb>160.1</fb>
    <v>1</v>
  </rv>
  <rv s="0">
    <fb>283.49</fb>
    <v>1</v>
  </rv>
  <rv s="0">
    <fb>104.64</fb>
    <v>1</v>
  </rv>
  <rv s="0">
    <fb>214</fb>
    <v>1</v>
  </rv>
  <rv s="0">
    <fb>26.495000000000001</fb>
    <v>1</v>
  </rv>
  <rv s="0">
    <fb>128.5</fb>
    <v>1</v>
  </rv>
  <rv s="0">
    <fb>227.81</fb>
    <v>1</v>
  </rv>
  <rv s="0">
    <fb>163.92</fb>
    <v>1</v>
  </rv>
  <rv s="0">
    <fb>180.54</fb>
    <v>1</v>
  </rv>
  <rv s="0">
    <fb>97.83</fb>
    <v>1</v>
  </rv>
  <rv s="0">
    <fb>45029</fb>
    <v>0</v>
  </rv>
  <rv s="0">
    <fb>165.56</fb>
    <v>1</v>
  </rv>
  <rv s="0">
    <fb>289.83999999999997</fb>
    <v>1</v>
  </rv>
  <rv s="0">
    <fb>107.43</fb>
    <v>1</v>
  </rv>
  <rv s="0">
    <fb>26.463000000000001</fb>
    <v>1</v>
  </rv>
  <rv s="0">
    <fb>128.99</fb>
    <v>1</v>
  </rv>
  <rv s="0">
    <fb>232.69</fb>
    <v>1</v>
  </rv>
  <rv s="0">
    <fb>166.11</fb>
    <v>1</v>
  </rv>
  <rv s="0">
    <fb>185.9</fb>
    <v>1</v>
  </rv>
  <rv s="0">
    <fb>102.4</fb>
    <v>1</v>
  </rv>
  <rv s="0">
    <fb>45030</fb>
    <v>0</v>
  </rv>
  <rv s="0">
    <fb>165.21</fb>
    <v>1</v>
  </rv>
  <rv s="0">
    <fb>286.14</fb>
    <v>1</v>
  </rv>
  <rv s="0">
    <fb>108.87</fb>
    <v>1</v>
  </rv>
  <rv s="0">
    <fb>221.49</fb>
    <v>1</v>
  </rv>
  <rv s="0">
    <fb>26.757999999999999</fb>
    <v>1</v>
  </rv>
  <rv s="0">
    <fb>138.72999999999999</fb>
    <v>1</v>
  </rv>
  <rv s="0">
    <fb>234.02</fb>
    <v>1</v>
  </rv>
  <rv s="0">
    <fb>165.84</fb>
    <v>1</v>
  </rv>
  <rv s="0">
    <fb>185</fb>
    <v>1</v>
  </rv>
  <rv s="0">
    <fb>102.51</fb>
    <v>1</v>
  </rv>
  <rv s="0">
    <fb>45033</fb>
    <v>0</v>
  </rv>
  <rv s="0">
    <fb>165.23</fb>
    <v>1</v>
  </rv>
  <rv s="0">
    <fb>288.8</fb>
    <v>1</v>
  </rv>
  <rv s="0">
    <fb>105.97</fb>
    <v>1</v>
  </rv>
  <rv s="0">
    <fb>218.86</fb>
    <v>1</v>
  </rv>
  <rv s="0">
    <fb>27.001999999999999</fb>
    <v>1</v>
  </rv>
  <rv s="0">
    <fb>139.83000000000001</fb>
    <v>1</v>
  </rv>
  <rv s="0">
    <fb>233.48</fb>
    <v>1</v>
  </rv>
  <rv s="0">
    <fb>165.67</fb>
    <v>1</v>
  </rv>
  <rv s="0">
    <fb>187.04</fb>
    <v>1</v>
  </rv>
  <rv s="0">
    <fb>102.74</fb>
    <v>1</v>
  </rv>
  <rv s="0">
    <fb>45034</fb>
    <v>0</v>
  </rv>
  <rv s="0">
    <fb>166.47</fb>
    <v>1</v>
  </rv>
  <rv s="0">
    <fb>288.37</fb>
    <v>1</v>
  </rv>
  <rv s="0">
    <fb>104.5</fb>
    <v>1</v>
  </rv>
  <rv s="0">
    <fb>217.89</fb>
    <v>1</v>
  </rv>
  <rv s="0">
    <fb>27.667000000000002</fb>
    <v>1</v>
  </rv>
  <rv s="0">
    <fb>141.4</fb>
    <v>1</v>
  </rv>
  <rv s="0">
    <fb>233.6</fb>
    <v>1</v>
  </rv>
  <rv s="0">
    <fb>161.01</fb>
    <v>1</v>
  </rv>
  <rv s="0">
    <fb>184.31</fb>
    <v>1</v>
  </rv>
  <rv s="0">
    <fb>102.3</fb>
    <v>1</v>
  </rv>
  <rv s="0">
    <fb>45035</fb>
    <v>0</v>
  </rv>
  <rv s="0">
    <fb>167.63</fb>
    <v>1</v>
  </rv>
  <rv s="0">
    <fb>288.45</fb>
    <v>1</v>
  </rv>
  <rv s="0">
    <fb>104.18</fb>
    <v>1</v>
  </rv>
  <rv s="0">
    <fb>215.7</fb>
    <v>1</v>
  </rv>
  <rv s="0">
    <fb>27.931000000000001</fb>
    <v>1</v>
  </rv>
  <rv s="0">
    <fb>141.22</fb>
    <v>1</v>
  </rv>
  <rv s="0">
    <fb>232.57</fb>
    <v>1</v>
  </rv>
  <rv s="0">
    <fb>162.53</fb>
    <v>1</v>
  </rv>
  <rv s="0">
    <fb>180.59</fb>
    <v>1</v>
  </rv>
  <rv s="0">
    <fb>104.3</fb>
    <v>1</v>
  </rv>
  <rv s="0">
    <fb>45036</fb>
    <v>0</v>
  </rv>
  <rv s="0">
    <fb>166.65</fb>
    <v>1</v>
  </rv>
  <rv s="0">
    <fb>286.11</fb>
    <v>1</v>
  </rv>
  <rv s="0">
    <fb>105.29</fb>
    <v>1</v>
  </rv>
  <rv s="0">
    <fb>27.103999999999999</fb>
    <v>1</v>
  </rv>
  <rv s="0">
    <fb>140.81</fb>
    <v>1</v>
  </rv>
  <rv s="0">
    <fb>234.6</fb>
    <v>1</v>
  </rv>
  <rv s="0">
    <fb>163.58000000000001</fb>
    <v>1</v>
  </rv>
  <rv s="0">
    <fb>162.99</fb>
    <v>1</v>
  </rv>
  <rv s="0">
    <fb>103.81</fb>
    <v>1</v>
  </rv>
  <rv s="0">
    <fb>45037</fb>
    <v>0</v>
  </rv>
  <rv s="0">
    <fb>165.02</fb>
    <v>1</v>
  </rv>
  <rv s="0">
    <fb>285.76</fb>
    <v>1</v>
  </rv>
  <rv s="0">
    <fb>105.41</fb>
    <v>1</v>
  </rv>
  <rv s="0">
    <fb>212.89</fb>
    <v>1</v>
  </rv>
  <rv s="0">
    <fb>27.119</fb>
    <v>1</v>
  </rv>
  <rv s="0">
    <fb>140.54</fb>
    <v>1</v>
  </rv>
  <rv s="0">
    <fb>234.05</fb>
    <v>1</v>
  </rv>
  <rv s="0">
    <fb>162.69</fb>
    <v>1</v>
  </rv>
  <rv s="0">
    <fb>165.08</fb>
    <v>1</v>
  </rv>
  <rv s="0">
    <fb>106.96</fb>
    <v>1</v>
  </rv>
  <rv s="0">
    <fb>45040</fb>
    <v>0</v>
  </rv>
  <rv s="0">
    <fb>165.33</fb>
    <v>1</v>
  </rv>
  <rv s="0">
    <fb>281.77</fb>
    <v>1</v>
  </rv>
  <rv s="0">
    <fb>212.79</fb>
    <v>1</v>
  </rv>
  <rv s="0">
    <fb>27.042000000000002</fb>
    <v>1</v>
  </rv>
  <rv s="0">
    <fb>140.72999999999999</fb>
    <v>1</v>
  </rv>
  <rv s="0">
    <fb>232.76</fb>
    <v>1</v>
  </rv>
  <rv s="0">
    <fb>163.68</fb>
    <v>1</v>
  </rv>
  <rv s="0">
    <fb>162.55000000000001</fb>
    <v>1</v>
  </rv>
  <rv s="0">
    <fb>106.21</fb>
    <v>1</v>
  </rv>
  <rv s="0">
    <fb>45041</fb>
    <v>0</v>
  </rv>
  <rv s="0">
    <fb>163.77000000000001</fb>
    <v>1</v>
  </rv>
  <rv s="0">
    <fb>275.42</fb>
    <v>1</v>
  </rv>
  <rv s="0">
    <fb>103.85</fb>
    <v>1</v>
  </rv>
  <rv s="0">
    <fb>207.55</fb>
    <v>1</v>
  </rv>
  <rv s="0">
    <fb>26.241</fb>
    <v>1</v>
  </rv>
  <rv s="0">
    <fb>137.66999999999999</fb>
    <v>1</v>
  </rv>
  <rv s="0">
    <fb>229.59</fb>
    <v>1</v>
  </rv>
  <rv s="0">
    <fb>165.18</fb>
    <v>1</v>
  </rv>
  <rv s="0">
    <fb>160.66999999999999</fb>
    <v>1</v>
  </rv>
  <rv s="0">
    <fb>102.57</fb>
    <v>1</v>
  </rv>
  <rv s="0">
    <fb>45042</fb>
    <v>0</v>
  </rv>
  <rv s="0">
    <fb>295.37</fb>
    <v>1</v>
  </rv>
  <rv s="0">
    <fb>103.71</fb>
    <v>1</v>
  </rv>
  <rv s="0">
    <fb>209.4</fb>
    <v>1</v>
  </rv>
  <rv s="0">
    <fb>26.956</fb>
    <v>1</v>
  </rv>
  <rv s="0">
    <fb>135.22999999999999</fb>
    <v>1</v>
  </rv>
  <rv s="0">
    <fb>228.15</fb>
    <v>1</v>
  </rv>
  <rv s="0">
    <fb>162.62</fb>
    <v>1</v>
  </rv>
  <rv s="0">
    <fb>153.75</fb>
    <v>1</v>
  </rv>
  <rv s="0">
    <fb>104.98</fb>
    <v>1</v>
  </rv>
  <rv s="0">
    <fb>45043</fb>
    <v>0</v>
  </rv>
  <rv s="0">
    <fb>168.41</fb>
    <v>1</v>
  </rv>
  <rv s="0">
    <fb>304.83</fb>
    <v>1</v>
  </rv>
  <rv s="0">
    <fb>107.59</fb>
    <v>1</v>
  </rv>
  <rv s="0">
    <fb>238.56</fb>
    <v>1</v>
  </rv>
  <rv s="0">
    <fb>27.225999999999999</fb>
    <v>1</v>
  </rv>
  <rv s="0">
    <fb>137.05000000000001</fb>
    <v>1</v>
  </rv>
  <rv s="0">
    <fb>229.01</fb>
    <v>1</v>
  </rv>
  <rv s="0">
    <fb>163</fb>
    <v>1</v>
  </rv>
  <rv s="0">
    <fb>160.19</fb>
    <v>1</v>
  </rv>
  <rv s="0">
    <fb>109.82</fb>
    <v>1</v>
  </rv>
  <rv s="0">
    <fb>45044</fb>
    <v>0</v>
  </rv>
  <rv s="0">
    <fb>169.68</fb>
    <v>1</v>
  </rv>
  <rv s="0">
    <fb>307.26</fb>
    <v>1</v>
  </rv>
  <rv s="0">
    <fb>107.34</fb>
    <v>1</v>
  </rv>
  <rv s="0">
    <fb>240.32</fb>
    <v>1</v>
  </rv>
  <rv s="0">
    <fb>27.748999999999999</fb>
    <v>1</v>
  </rv>
  <rv s="0">
    <fb>138.24</fb>
    <v>1</v>
  </rv>
  <rv s="0">
    <fb>232.73</fb>
    <v>1</v>
  </rv>
  <rv s="0">
    <fb>163.69999999999999</fb>
    <v>1</v>
  </rv>
  <rv s="0">
    <fb>164.31</fb>
    <v>1</v>
  </rv>
  <rv s="0">
    <fb>105.45</fb>
    <v>1</v>
  </rv>
  <rv s="0">
    <fb>45047</fb>
    <v>0</v>
  </rv>
  <rv s="0">
    <fb>169.59</fb>
    <v>1</v>
  </rv>
  <rv s="0">
    <fb>305.56</fb>
    <v>1</v>
  </rv>
  <rv s="0">
    <fb>107.2</fb>
    <v>1</v>
  </rv>
  <rv s="0">
    <fb>243.18</fb>
    <v>1</v>
  </rv>
  <rv s="0">
    <fb>28.91</fb>
    <v>1</v>
  </rv>
  <rv s="0">
    <fb>141.19999999999999</fb>
    <v>1</v>
  </rv>
  <rv s="0">
    <fb>232.51</fb>
    <v>1</v>
  </rv>
  <rv s="0">
    <fb>163.6</fb>
    <v>1</v>
  </rv>
  <rv s="0">
    <fb>161.83000000000001</fb>
    <v>1</v>
  </rv>
  <rv s="0">
    <fb>102.05</fb>
    <v>1</v>
  </rv>
  <rv s="0">
    <fb>45048</fb>
    <v>0</v>
  </rv>
  <rv s="0">
    <fb>168.54</fb>
    <v>1</v>
  </rv>
  <rv s="0">
    <fb>305.41000000000003</fb>
    <v>1</v>
  </rv>
  <rv s="0">
    <fb>105.32</fb>
    <v>1</v>
  </rv>
  <rv s="0">
    <fb>239.24</fb>
    <v>1</v>
  </rv>
  <rv s="0">
    <fb>28.21</fb>
    <v>1</v>
  </rv>
  <rv s="0">
    <fb>138.91999999999999</fb>
    <v>1</v>
  </rv>
  <rv s="0">
    <fb>226.98</fb>
    <v>1</v>
  </rv>
  <rv s="0">
    <fb>165.03</fb>
    <v>1</v>
  </rv>
  <rv s="0">
    <fb>160.31</fb>
    <v>1</v>
  </rv>
  <rv s="0">
    <fb>103.63</fb>
    <v>1</v>
  </rv>
  <rv s="0">
    <fb>45049</fb>
    <v>0</v>
  </rv>
  <rv s="0">
    <fb>167.45</fb>
    <v>1</v>
  </rv>
  <rv s="0">
    <fb>304.39999999999998</fb>
    <v>1</v>
  </rv>
  <rv s="0">
    <fb>237.03</fb>
    <v>1</v>
  </rv>
  <rv s="0">
    <fb>27.802</fb>
    <v>1</v>
  </rv>
  <rv s="0">
    <fb>135.97999999999999</fb>
    <v>1</v>
  </rv>
  <rv s="0">
    <fb>225.98</fb>
    <v>1</v>
  </rv>
  <rv s="0">
    <fb>162.87</fb>
    <v>1</v>
  </rv>
  <rv s="0">
    <fb>160.61000000000001</fb>
    <v>1</v>
  </rv>
  <rv s="0">
    <fb>103.65</fb>
    <v>1</v>
  </rv>
  <rv s="0">
    <fb>45050</fb>
    <v>0</v>
  </rv>
  <rv s="0">
    <fb>165.79</fb>
    <v>1</v>
  </rv>
  <rv s="0">
    <fb>104.69</fb>
    <v>1</v>
  </rv>
  <rv s="0">
    <fb>233.52</fb>
    <v>1</v>
  </rv>
  <rv s="0">
    <fb>27.562000000000001</fb>
    <v>1</v>
  </rv>
  <rv s="0">
    <fb>134.12</fb>
    <v>1</v>
  </rv>
  <rv s="0">
    <fb>225.6</fb>
    <v>1</v>
  </rv>
  <rv s="0">
    <fb>162.13</fb>
    <v>1</v>
  </rv>
  <rv s="0">
    <fb>161.19999999999999</fb>
    <v>1</v>
  </rv>
  <rv s="0">
    <fb>104</fb>
    <v>1</v>
  </rv>
  <rv s="0">
    <fb>45051</fb>
    <v>0</v>
  </rv>
  <rv s="0">
    <fb>173.57</fb>
    <v>1</v>
  </rv>
  <rv s="0">
    <fb>310.64999999999998</fb>
    <v>1</v>
  </rv>
  <rv s="0">
    <fb>105.57</fb>
    <v>1</v>
  </rv>
  <rv s="0">
    <fb>232.78</fb>
    <v>1</v>
  </rv>
  <rv s="0">
    <fb>28.68</fb>
    <v>1</v>
  </rv>
  <rv s="0">
    <fb>136.74</fb>
    <v>1</v>
  </rv>
  <rv s="0">
    <fb>231.78</fb>
    <v>1</v>
  </rv>
  <rv s="0">
    <fb>162.68</fb>
    <v>1</v>
  </rv>
  <rv s="0">
    <fb>170.06</fb>
    <v>1</v>
  </rv>
  <rv s="0">
    <fb>105.655</fb>
    <v>1</v>
  </rv>
  <rv s="0">
    <fb>45054</fb>
    <v>0</v>
  </rv>
  <rv s="0">
    <fb>173.5</fb>
    <v>1</v>
  </rv>
  <rv s="0">
    <fb>308.64999999999998</fb>
    <v>1</v>
  </rv>
  <rv s="0">
    <fb>107.77</fb>
    <v>1</v>
  </rv>
  <rv s="0">
    <fb>233.27</fb>
    <v>1</v>
  </rv>
  <rv s="0">
    <fb>29.151</fb>
    <v>1</v>
  </rv>
  <rv s="0">
    <fb>137.07</fb>
    <v>1</v>
  </rv>
  <rv s="0">
    <fb>232.23</fb>
    <v>1</v>
  </rv>
  <rv s="0">
    <fb>162.31</fb>
    <v>1</v>
  </rv>
  <rv s="0">
    <fb>171.79</fb>
    <v>1</v>
  </rv>
  <rv s="0">
    <fb>105.83</fb>
    <v>1</v>
  </rv>
  <rv s="0">
    <fb>45055</fb>
    <v>0</v>
  </rv>
  <rv s="0">
    <fb>171.77</fb>
    <v>1</v>
  </rv>
  <rv s="0">
    <fb>307</fb>
    <v>1</v>
  </rv>
  <rv s="0">
    <fb>107.35</fb>
    <v>1</v>
  </rv>
  <rv s="0">
    <fb>233.37</fb>
    <v>1</v>
  </rv>
  <rv s="0">
    <fb>28.571000000000002</fb>
    <v>1</v>
  </rv>
  <rv s="0">
    <fb>136.41</fb>
    <v>1</v>
  </rv>
  <rv s="0">
    <fb>233.26</fb>
    <v>1</v>
  </rv>
  <rv s="0">
    <fb>161.05000000000001</fb>
    <v>1</v>
  </rv>
  <rv s="0">
    <fb>169.15</fb>
    <v>1</v>
  </rv>
  <rv s="0">
    <fb>106.62</fb>
    <v>1</v>
  </rv>
  <rv s="0">
    <fb>45056</fb>
    <v>0</v>
  </rv>
  <rv s="0">
    <fb>173.55500000000001</fb>
    <v>1</v>
  </rv>
  <rv s="0">
    <fb>312.31</fb>
    <v>1</v>
  </rv>
  <rv s="0">
    <fb>111.75</fb>
    <v>1</v>
  </rv>
  <rv s="0">
    <fb>233.08</fb>
    <v>1</v>
  </rv>
  <rv s="0">
    <fb>28.885000000000002</fb>
    <v>1</v>
  </rv>
  <rv s="0">
    <fb>136.47999999999999</fb>
    <v>1</v>
  </rv>
  <rv s="0">
    <fb>231.27</fb>
    <v>1</v>
  </rv>
  <rv s="0">
    <fb>161.65</fb>
    <v>1</v>
  </rv>
  <rv s="0">
    <fb>110.19</fb>
    <v>1</v>
  </rv>
  <rv s="0">
    <fb>45057</fb>
    <v>0</v>
  </rv>
  <rv s="0">
    <fb>173.75</fb>
    <v>1</v>
  </rv>
  <rv s="0">
    <fb>310.11</fb>
    <v>1</v>
  </rv>
  <rv s="0">
    <fb>116.57</fb>
    <v>1</v>
  </rv>
  <rv s="0">
    <fb>235.79</fb>
    <v>1</v>
  </rv>
  <rv s="0">
    <fb>28.577999999999999</fb>
    <v>1</v>
  </rv>
  <rv s="0">
    <fb>136.05000000000001</fb>
    <v>1</v>
  </rv>
  <rv s="0">
    <fb>231.01</fb>
    <v>1</v>
  </rv>
  <rv s="0">
    <fb>160.99</fb>
    <v>1</v>
  </rv>
  <rv s="0">
    <fb>112.18</fb>
    <v>1</v>
  </rv>
  <rv s="0">
    <fb>45058</fb>
    <v>0</v>
  </rv>
  <rv s="0">
    <fb>172.57</fb>
    <v>1</v>
  </rv>
  <rv s="0">
    <fb>308.97000000000003</fb>
    <v>1</v>
  </rv>
  <rv s="0">
    <fb>117.51</fb>
    <v>1</v>
  </rv>
  <rv s="0">
    <fb>233.81</fb>
    <v>1</v>
  </rv>
  <rv s="0">
    <fb>28.34</fb>
    <v>1</v>
  </rv>
  <rv s="0">
    <fb>134.1</fb>
    <v>1</v>
  </rv>
  <rv s="0">
    <fb>231.38</fb>
    <v>1</v>
  </rv>
  <rv s="0">
    <fb>160.78</fb>
    <v>1</v>
  </rv>
  <rv s="0">
    <fb>167.98</fb>
    <v>1</v>
  </rv>
  <rv s="0">
    <fb>110.26</fb>
    <v>1</v>
  </rv>
  <rv s="0">
    <fb>45061</fb>
    <v>0</v>
  </rv>
  <rv s="0">
    <fb>172.07</fb>
    <v>1</v>
  </rv>
  <rv s="0">
    <fb>309.45999999999998</fb>
    <v>1</v>
  </rv>
  <rv s="0">
    <fb>116.51</fb>
    <v>1</v>
  </rv>
  <rv s="0">
    <fb>238.86</fb>
    <v>1</v>
  </rv>
  <rv s="0">
    <fb>28.952999999999999</fb>
    <v>1</v>
  </rv>
  <rv s="0">
    <fb>232.81</fb>
    <v>1</v>
  </rv>
  <rv s="0">
    <fb>159.55000000000001</fb>
    <v>1</v>
  </rv>
  <rv s="0">
    <fb>166.35</fb>
    <v>1</v>
  </rv>
  <rv s="0">
    <fb>111.2</fb>
    <v>1</v>
  </rv>
  <rv s="0">
    <fb>45062</fb>
    <v>0</v>
  </rv>
  <rv s="0">
    <fb>311.74</fb>
    <v>1</v>
  </rv>
  <rv s="0">
    <fb>119.51</fb>
    <v>1</v>
  </rv>
  <rv s="0">
    <fb>238.82</fb>
    <v>1</v>
  </rv>
  <rv s="0">
    <fb>29.213000000000001</fb>
    <v>1</v>
  </rv>
  <rv s="0">
    <fb>134.32</fb>
    <v>1</v>
  </rv>
  <rv s="0">
    <fb>230.47</fb>
    <v>1</v>
  </rv>
  <rv s="0">
    <fb>159.34</fb>
    <v>1</v>
  </rv>
  <rv s="0">
    <fb>166.52</fb>
    <v>1</v>
  </rv>
  <rv s="0">
    <fb>113.4</fb>
    <v>1</v>
  </rv>
  <rv s="0">
    <fb>45063</fb>
    <v>0</v>
  </rv>
  <rv s="0">
    <fb>172.69</fb>
    <v>1</v>
  </rv>
  <rv s="0">
    <fb>314</fb>
    <v>1</v>
  </rv>
  <rv s="0">
    <fb>120.84</fb>
    <v>1</v>
  </rv>
  <rv s="0">
    <fb>242.48500000000001</fb>
    <v>1</v>
  </rv>
  <rv s="0">
    <fb>30.178000000000001</fb>
    <v>1</v>
  </rv>
  <rv s="0">
    <fb>232.65</fb>
    <v>1</v>
  </rv>
  <rv s="0">
    <fb>158.99</fb>
    <v>1</v>
  </rv>
  <rv s="0">
    <fb>173.86</fb>
    <v>1</v>
  </rv>
  <rv s="0">
    <fb>115.5</fb>
    <v>1</v>
  </rv>
  <rv s="0">
    <fb>45064</fb>
    <v>0</v>
  </rv>
  <rv s="0">
    <fb>175.05</fb>
    <v>1</v>
  </rv>
  <rv s="0">
    <fb>318.52</fb>
    <v>1</v>
  </rv>
  <rv s="0">
    <fb>122.83</fb>
    <v>1</v>
  </rv>
  <rv s="0">
    <fb>246.85</fb>
    <v>1</v>
  </rv>
  <rv s="0">
    <fb>31.678000000000001</fb>
    <v>1</v>
  </rv>
  <rv s="0">
    <fb>139.5</fb>
    <v>1</v>
  </rv>
  <rv s="0">
    <fb>158.47999999999999</fb>
    <v>1</v>
  </rv>
  <rv s="0">
    <fb>176.89</fb>
    <v>1</v>
  </rv>
  <rv s="0">
    <fb>118.15</fb>
    <v>1</v>
  </rv>
  <rv s="0">
    <fb>45065</fb>
    <v>0</v>
  </rv>
  <rv s="0">
    <fb>318.33999999999997</fb>
    <v>1</v>
  </rv>
  <rv s="0">
    <fb>122.76</fb>
    <v>1</v>
  </rv>
  <rv s="0">
    <fb>245.64</fb>
    <v>1</v>
  </rv>
  <rv s="0">
    <fb>31.263999999999999</fb>
    <v>1</v>
  </rv>
  <rv s="0">
    <fb>139.18</fb>
    <v>1</v>
  </rv>
  <rv s="0">
    <fb>233.31</fb>
    <v>1</v>
  </rv>
  <rv s="0">
    <fb>158.91</fb>
    <v>1</v>
  </rv>
  <rv s="0">
    <fb>180.14</fb>
    <v>1</v>
  </rv>
  <rv s="0">
    <fb>116.25</fb>
    <v>1</v>
  </rv>
  <rv s="0">
    <fb>45068</fb>
    <v>0</v>
  </rv>
  <rv s="0">
    <fb>174.2</fb>
    <v>1</v>
  </rv>
  <rv s="0">
    <fb>321.18</fb>
    <v>1</v>
  </rv>
  <rv s="0">
    <fb>125.05</fb>
    <v>1</v>
  </rv>
  <rv s="0">
    <fb>248.32</fb>
    <v>1</v>
  </rv>
  <rv s="0">
    <fb>31.175999999999998</fb>
    <v>1</v>
  </rv>
  <rv s="0">
    <fb>138.03</fb>
    <v>1</v>
  </rv>
  <rv s="0">
    <fb>231.28</fb>
    <v>1</v>
  </rv>
  <rv s="0">
    <fb>156.87</fb>
    <v>1</v>
  </rv>
  <rv s="0">
    <fb>188.87</fb>
    <v>1</v>
  </rv>
  <rv s="0">
    <fb>115.01</fb>
    <v>1</v>
  </rv>
  <rv s="0">
    <fb>45069</fb>
    <v>0</v>
  </rv>
  <rv s="0">
    <fb>171.56</fb>
    <v>1</v>
  </rv>
  <rv s="0">
    <fb>315.26</fb>
    <v>1</v>
  </rv>
  <rv s="0">
    <fb>122.56</fb>
    <v>1</v>
  </rv>
  <rv s="0">
    <fb>246.74</fb>
    <v>1</v>
  </rv>
  <rv s="0">
    <fb>30.687999999999999</fb>
    <v>1</v>
  </rv>
  <rv s="0">
    <fb>136.59</fb>
    <v>1</v>
  </rv>
  <rv s="0">
    <fb>224.58</fb>
    <v>1</v>
  </rv>
  <rv s="0">
    <fb>156.81</fb>
    <v>1</v>
  </rv>
  <rv s="0">
    <fb>185.77</fb>
    <v>1</v>
  </rv>
  <rv s="0">
    <fb>114.99</fb>
    <v>1</v>
  </rv>
  <rv s="0">
    <fb>45070</fb>
    <v>0</v>
  </rv>
  <rv s="0">
    <fb>171.84</fb>
    <v>1</v>
  </rv>
  <rv s="0">
    <fb>313.85000000000002</fb>
    <v>1</v>
  </rv>
  <rv s="0">
    <fb>120.9</fb>
    <v>1</v>
  </rv>
  <rv s="0">
    <fb>249.21</fb>
    <v>1</v>
  </rv>
  <rv s="0">
    <fb>30.538</fb>
    <v>1</v>
  </rv>
  <rv s="0">
    <fb>135.34</fb>
    <v>1</v>
  </rv>
  <rv s="0">
    <fb>222.25</fb>
    <v>1</v>
  </rv>
  <rv s="0">
    <fb>156.66</fb>
    <v>1</v>
  </rv>
  <rv s="0">
    <fb>182.9</fb>
    <v>1</v>
  </rv>
  <rv s="0">
    <fb>116.75</fb>
    <v>1</v>
  </rv>
  <rv s="0">
    <fb>45071</fb>
    <v>0</v>
  </rv>
  <rv s="0">
    <fb>172.99</fb>
    <v>1</v>
  </rv>
  <rv s="0">
    <fb>325.92</fb>
    <v>1</v>
  </rv>
  <rv s="0">
    <fb>123.48</fb>
    <v>1</v>
  </rv>
  <rv s="0">
    <fb>252.69</fb>
    <v>1</v>
  </rv>
  <rv s="0">
    <fb>37.979999999999997</fb>
    <v>1</v>
  </rv>
  <rv s="0">
    <fb>135.66999999999999</fb>
    <v>1</v>
  </rv>
  <rv s="0">
    <fb>223.38</fb>
    <v>1</v>
  </rv>
  <rv s="0">
    <fb>154.41</fb>
    <v>1</v>
  </rv>
  <rv s="0">
    <fb>184.47</fb>
    <v>1</v>
  </rv>
  <rv s="0">
    <fb>115</fb>
    <v>1</v>
  </rv>
  <rv s="0">
    <fb>45072</fb>
    <v>0</v>
  </rv>
  <rv s="0">
    <fb>175.43</fb>
    <v>1</v>
  </rv>
  <rv s="0">
    <fb>332.89</fb>
    <v>1</v>
  </rv>
  <rv s="0">
    <fb>124.61</fb>
    <v>1</v>
  </rv>
  <rv s="0">
    <fb>262.04000000000002</fb>
    <v>1</v>
  </rv>
  <rv s="0">
    <fb>38.945999999999998</fb>
    <v>1</v>
  </rv>
  <rv s="0">
    <fb>136.94</fb>
    <v>1</v>
  </rv>
  <rv s="0">
    <fb>225.01</fb>
    <v>1</v>
  </rv>
  <rv s="0">
    <fb>193.17</fb>
    <v>1</v>
  </rv>
  <rv s="0">
    <fb>120.11</fb>
    <v>1</v>
  </rv>
  <rv s="0">
    <fb>45076</fb>
    <v>0</v>
  </rv>
  <rv s="0">
    <fb>177.3</fb>
    <v>1</v>
  </rv>
  <rv s="0">
    <fb>331.21</fb>
    <v>1</v>
  </rv>
  <rv s="0">
    <fb>123.67</fb>
    <v>1</v>
  </rv>
  <rv s="0">
    <fb>262.52</fb>
    <v>1</v>
  </rv>
  <rv s="0">
    <fb>40.110999999999997</fb>
    <v>1</v>
  </rv>
  <rv s="0">
    <fb>137.46</fb>
    <v>1</v>
  </rv>
  <rv s="0">
    <fb>221.64</fb>
    <v>1</v>
  </rv>
  <rv s="0">
    <fb>154.37</fb>
    <v>1</v>
  </rv>
  <rv s="0">
    <fb>201.16</fb>
    <v>1</v>
  </rv>
  <rv s="0">
    <fb>121.66</fb>
    <v>1</v>
  </rv>
  <rv s="0">
    <fb>45077</fb>
    <v>0</v>
  </rv>
  <rv s="0">
    <fb>177.25</fb>
    <v>1</v>
  </rv>
  <rv s="0">
    <fb>328.39</fb>
    <v>1</v>
  </rv>
  <rv s="0">
    <fb>122.87</fb>
    <v>1</v>
  </rv>
  <rv s="0">
    <fb>264.72000000000003</fb>
    <v>1</v>
  </rv>
  <rv s="0">
    <fb>37.834000000000003</fb>
    <v>1</v>
  </rv>
  <rv s="0">
    <fb>135.71</fb>
    <v>1</v>
  </rv>
  <rv s="0">
    <fb>221.03</fb>
    <v>1</v>
  </rv>
  <rv s="0">
    <fb>155.06</fb>
    <v>1</v>
  </rv>
  <rv s="0">
    <fb>203.93</fb>
    <v>1</v>
  </rv>
  <rv s="0">
    <fb>120.58</fb>
    <v>1</v>
  </rv>
  <rv s="0">
    <fb>45078</fb>
    <v>0</v>
  </rv>
  <rv s="0">
    <fb>180.09</fb>
    <v>1</v>
  </rv>
  <rv s="0">
    <fb>332.58</fb>
    <v>1</v>
  </rv>
  <rv s="0">
    <fb>123.72</fb>
    <v>1</v>
  </rv>
  <rv s="0">
    <fb>272.61</fb>
    <v>1</v>
  </rv>
  <rv s="0">
    <fb>39.770000000000003</fb>
    <v>1</v>
  </rv>
  <rv s="0">
    <fb>137.58000000000001</fb>
    <v>1</v>
  </rv>
  <rv s="0">
    <fb>226.5</fb>
    <v>1</v>
  </rv>
  <rv s="0">
    <fb>154.54</fb>
    <v>1</v>
  </rv>
  <rv s="0">
    <fb>207.52</fb>
    <v>1</v>
  </rv>
  <rv s="0">
    <fb>122.77</fb>
    <v>1</v>
  </rv>
  <rv s="0">
    <fb>45079</fb>
    <v>0</v>
  </rv>
  <rv s="0">
    <fb>180.95</fb>
    <v>1</v>
  </rv>
  <rv s="0">
    <fb>335.4</fb>
    <v>1</v>
  </rv>
  <rv s="0">
    <fb>124.67</fb>
    <v>1</v>
  </rv>
  <rv s="0">
    <fb>39.326999999999998</fb>
    <v>1</v>
  </rv>
  <rv s="0">
    <fb>140.47</fb>
    <v>1</v>
  </rv>
  <rv s="0">
    <fb>228.79</fb>
    <v>1</v>
  </rv>
  <rv s="0">
    <fb>156.97</fb>
    <v>1</v>
  </rv>
  <rv s="0">
    <fb>213.97</fb>
    <v>1</v>
  </rv>
  <rv s="0">
    <fb>124.25</fb>
    <v>1</v>
  </rv>
  <rv s="0">
    <fb>45082</fb>
    <v>0</v>
  </rv>
  <rv s="0">
    <fb>179.58</fb>
    <v>1</v>
  </rv>
  <rv s="0">
    <fb>335.94</fb>
    <v>1</v>
  </rv>
  <rv s="0">
    <fb>126.01</fb>
    <v>1</v>
  </rv>
  <rv s="0">
    <fb>271.39</fb>
    <v>1</v>
  </rv>
  <rv s="0">
    <fb>39.170999999999999</fb>
    <v>1</v>
  </rv>
  <rv s="0">
    <fb>139.09</fb>
    <v>1</v>
  </rv>
  <rv s="0">
    <fb>226.77</fb>
    <v>1</v>
  </rv>
  <rv s="0">
    <fb>158.32</fb>
    <v>1</v>
  </rv>
  <rv s="0">
    <fb>217.61</fb>
    <v>1</v>
  </rv>
  <rv s="0">
    <fb>125.3</fb>
    <v>1</v>
  </rv>
  <rv s="0">
    <fb>45083</fb>
    <v>0</v>
  </rv>
  <rv s="0">
    <fb>179.21</fb>
    <v>1</v>
  </rv>
  <rv s="0">
    <fb>333.68</fb>
    <v>1</v>
  </rv>
  <rv s="0">
    <fb>127.31</fb>
    <v>1</v>
  </rv>
  <rv s="0">
    <fb>271.12</fb>
    <v>1</v>
  </rv>
  <rv s="0">
    <fb>38.654000000000003</fb>
    <v>1</v>
  </rv>
  <rv s="0">
    <fb>139.34</fb>
    <v>1</v>
  </rv>
  <rv s="0">
    <fb>228.22</fb>
    <v>1</v>
  </rv>
  <rv s="0">
    <fb>158.18</fb>
    <v>1</v>
  </rv>
  <rv s="0">
    <fb>221.31</fb>
    <v>1</v>
  </rv>
  <rv s="0">
    <fb>126.61</fb>
    <v>1</v>
  </rv>
  <rv s="0">
    <fb>45084</fb>
    <v>0</v>
  </rv>
  <rv s="0">
    <fb>177.82</fb>
    <v>1</v>
  </rv>
  <rv s="0">
    <fb>323.38</fb>
    <v>1</v>
  </rv>
  <rv s="0">
    <fb>122.5</fb>
    <v>1</v>
  </rv>
  <rv s="0">
    <fb>263.60000000000002</fb>
    <v>1</v>
  </rv>
  <rv s="0">
    <fb>37.475000000000001</fb>
    <v>1</v>
  </rv>
  <rv s="0">
    <fb>140.69</fb>
    <v>1</v>
  </rv>
  <rv s="0">
    <fb>225.27</fb>
    <v>1</v>
  </rv>
  <rv s="0">
    <fb>158.52000000000001</fb>
    <v>1</v>
  </rv>
  <rv s="0">
    <fb>224.57</fb>
    <v>1</v>
  </rv>
  <rv s="0">
    <fb>121.23</fb>
    <v>1</v>
  </rv>
  <rv s="0">
    <fb>45085</fb>
    <v>0</v>
  </rv>
  <rv s="0">
    <fb>180.57</fb>
    <v>1</v>
  </rv>
  <rv s="0">
    <fb>325.26</fb>
    <v>1</v>
  </rv>
  <rv s="0">
    <fb>122.14</fb>
    <v>1</v>
  </rv>
  <rv s="0">
    <fb>264.58</fb>
    <v>1</v>
  </rv>
  <rv s="0">
    <fb>38.51</fb>
    <v>1</v>
  </rv>
  <rv s="0">
    <fb>223.05</fb>
    <v>1</v>
  </rv>
  <rv s="0">
    <fb>160.26</fb>
    <v>1</v>
  </rv>
  <rv s="0">
    <fb>234.86</fb>
    <v>1</v>
  </rv>
  <rv s="0">
    <fb>45086</fb>
    <v>0</v>
  </rv>
  <rv s="0">
    <fb>180.96</fb>
    <v>1</v>
  </rv>
  <rv s="0">
    <fb>326.79000000000002</fb>
    <v>1</v>
  </rv>
  <rv s="0">
    <fb>122.23</fb>
    <v>1</v>
  </rv>
  <rv s="0">
    <fb>264.95</fb>
    <v>1</v>
  </rv>
  <rv s="0">
    <fb>38.770000000000003</fb>
    <v>1</v>
  </rv>
  <rv s="0">
    <fb>141.01</fb>
    <v>1</v>
  </rv>
  <rv s="0">
    <fb>160.01</fb>
    <v>1</v>
  </rv>
  <rv s="0">
    <fb>244.4</fb>
    <v>1</v>
  </rv>
  <rv s="0">
    <fb>123.43</fb>
    <v>1</v>
  </rv>
  <rv s="0">
    <fb>45089</fb>
    <v>0</v>
  </rv>
  <rv s="0">
    <fb>183.79</fb>
    <v>1</v>
  </rv>
  <rv s="0">
    <fb>331.85</fb>
    <v>1</v>
  </rv>
  <rv s="0">
    <fb>123.64</fb>
    <v>1</v>
  </rv>
  <rv s="0">
    <fb>271.05</fb>
    <v>1</v>
  </rv>
  <rv s="0">
    <fb>39.481999999999999</fb>
    <v>1</v>
  </rv>
  <rv s="0">
    <fb>141</fb>
    <v>1</v>
  </rv>
  <rv s="0">
    <fb>226.17</fb>
    <v>1</v>
  </rv>
  <rv s="0">
    <fb>159.9</fb>
    <v>1</v>
  </rv>
  <rv s="0">
    <fb>249.83</fb>
    <v>1</v>
  </rv>
  <rv s="0">
    <fb>126.57</fb>
    <v>1</v>
  </rv>
  <rv s="0">
    <fb>45090</fb>
    <v>0</v>
  </rv>
  <rv s="0">
    <fb>183.31</fb>
    <v>1</v>
  </rv>
  <rv s="0">
    <fb>334.29</fb>
    <v>1</v>
  </rv>
  <rv s="0">
    <fb>123.83</fb>
    <v>1</v>
  </rv>
  <rv s="0">
    <fb>41.021999999999998</fb>
    <v>1</v>
  </rv>
  <rv s="0">
    <fb>142.02000000000001</fb>
    <v>1</v>
  </rv>
  <rv s="0">
    <fb>223.4</fb>
    <v>1</v>
  </rv>
  <rv s="0">
    <fb>160.74</fb>
    <v>1</v>
  </rv>
  <rv s="0">
    <fb>258.70999999999998</fb>
    <v>1</v>
  </rv>
  <rv s="0">
    <fb>126.66</fb>
    <v>1</v>
  </rv>
  <rv s="0">
    <fb>45091</fb>
    <v>0</v>
  </rv>
  <rv s="0">
    <fb>183.95</fb>
    <v>1</v>
  </rv>
  <rv s="0">
    <fb>337.34</fb>
    <v>1</v>
  </rv>
  <rv s="0">
    <fb>273.35000000000002</fb>
    <v>1</v>
  </rv>
  <rv s="0">
    <fb>42.997</fb>
    <v>1</v>
  </rv>
  <rv s="0">
    <fb>141.49</fb>
    <v>1</v>
  </rv>
  <rv s="0">
    <fb>223.44</fb>
    <v>1</v>
  </rv>
  <rv s="0">
    <fb>161.56</fb>
    <v>1</v>
  </rv>
  <rv s="0">
    <fb>256.79000000000002</fb>
    <v>1</v>
  </rv>
  <rv s="0">
    <fb>126.42</fb>
    <v>1</v>
  </rv>
  <rv s="0">
    <fb>45092</fb>
    <v>0</v>
  </rv>
  <rv s="0">
    <fb>186.01</fb>
    <v>1</v>
  </rv>
  <rv s="0">
    <fb>348.1</fb>
    <v>1</v>
  </rv>
  <rv s="0">
    <fb>125.09</fb>
    <v>1</v>
  </rv>
  <rv s="0">
    <fb>281.83</fb>
    <v>1</v>
  </rv>
  <rv s="0">
    <fb>42.652999999999999</fb>
    <v>1</v>
  </rv>
  <rv s="0">
    <fb>143.09</fb>
    <v>1</v>
  </rv>
  <rv s="0">
    <fb>163.72999999999999</fb>
    <v>1</v>
  </rv>
  <rv s="0">
    <fb>255.9</fb>
    <v>1</v>
  </rv>
  <rv s="0">
    <fb>127.11</fb>
    <v>1</v>
  </rv>
  <rv s="0">
    <fb>45093</fb>
    <v>0</v>
  </rv>
  <rv s="0">
    <fb>184.92</fb>
    <v>1</v>
  </rv>
  <rv s="0">
    <fb>342.33</fb>
    <v>1</v>
  </rv>
  <rv s="0">
    <fb>123.53</fb>
    <v>1</v>
  </rv>
  <rv s="0">
    <fb>281</fb>
    <v>1</v>
  </rv>
  <rv s="0">
    <fb>42.692</fb>
    <v>1</v>
  </rv>
  <rv s="0">
    <fb>143.26</fb>
    <v>1</v>
  </rv>
  <rv s="0">
    <fb>228.91</fb>
    <v>1</v>
  </rv>
  <rv s="0">
    <fb>164.23</fb>
    <v>1</v>
  </rv>
  <rv s="0">
    <fb>260.54000000000002</fb>
    <v>1</v>
  </rv>
  <rv s="0">
    <fb>125.49</fb>
    <v>1</v>
  </rv>
  <rv s="0">
    <fb>45097</fb>
    <v>0</v>
  </rv>
  <rv s="0">
    <fb>185.01</fb>
    <v>1</v>
  </rv>
  <rv s="0">
    <fb>338.05</fb>
    <v>1</v>
  </rv>
  <rv s="0">
    <fb>123.1</fb>
    <v>1</v>
  </rv>
  <rv s="0">
    <fb>284.33</fb>
    <v>1</v>
  </rv>
  <rv s="0">
    <fb>43.808</fb>
    <v>1</v>
  </rv>
  <rv s="0">
    <fb>226.47</fb>
    <v>1</v>
  </rv>
  <rv s="0">
    <fb>164.13</fb>
    <v>1</v>
  </rv>
  <rv s="0">
    <fb>274.45</fb>
    <v>1</v>
  </rv>
  <rv s="0">
    <fb>125.78</fb>
    <v>1</v>
  </rv>
  <rv s="0">
    <fb>45098</fb>
    <v>0</v>
  </rv>
  <rv s="0">
    <fb>183.96</fb>
    <v>1</v>
  </rv>
  <rv s="0">
    <fb>333.56</fb>
    <v>1</v>
  </rv>
  <rv s="0">
    <fb>120.55</fb>
    <v>1</v>
  </rv>
  <rv s="0">
    <fb>281.64</fb>
    <v>1</v>
  </rv>
  <rv s="0">
    <fb>43.045000000000002</fb>
    <v>1</v>
  </rv>
  <rv s="0">
    <fb>142.32</fb>
    <v>1</v>
  </rv>
  <rv s="0">
    <fb>227.25</fb>
    <v>1</v>
  </rv>
  <rv s="0">
    <fb>163.88</fb>
    <v>1</v>
  </rv>
  <rv s="0">
    <fb>259.45999999999998</fb>
    <v>1</v>
  </rv>
  <rv s="0">
    <fb>124.83</fb>
    <v>1</v>
  </rv>
  <rv s="0">
    <fb>45099</fb>
    <v>0</v>
  </rv>
  <rv s="0">
    <fb>187</fb>
    <v>1</v>
  </rv>
  <rv s="0">
    <fb>339.71</fb>
    <v>1</v>
  </rv>
  <rv s="0">
    <fb>123.15</fb>
    <v>1</v>
  </rv>
  <rv s="0">
    <fb>284.88</fb>
    <v>1</v>
  </rv>
  <rv s="0">
    <fb>43.024999999999999</fb>
    <v>1</v>
  </rv>
  <rv s="0">
    <fb>139.58000000000001</fb>
    <v>1</v>
  </rv>
  <rv s="0">
    <fb>228.39</fb>
    <v>1</v>
  </rv>
  <rv s="0">
    <fb>165.62</fb>
    <v>1</v>
  </rv>
  <rv s="0">
    <fb>264.61</fb>
    <v>1</v>
  </rv>
  <rv s="0">
    <fb>45100</fb>
    <v>0</v>
  </rv>
  <rv s="0">
    <fb>186.68</fb>
    <v>1</v>
  </rv>
  <rv s="0">
    <fb>335.02</fb>
    <v>1</v>
  </rv>
  <rv s="0">
    <fb>122.34</fb>
    <v>1</v>
  </rv>
  <rv s="0">
    <fb>288.73</fb>
    <v>1</v>
  </rv>
  <rv s="0">
    <fb>42.209000000000003</fb>
    <v>1</v>
  </rv>
  <rv s="0">
    <fb>138.85</fb>
    <v>1</v>
  </rv>
  <rv s="0">
    <fb>229.55</fb>
    <v>1</v>
  </rv>
  <rv s="0">
    <fb>165.48</fb>
    <v>1</v>
  </rv>
  <rv s="0">
    <fb>256.60000000000002</fb>
    <v>1</v>
  </rv>
  <rv s="0">
    <fb>129.33000000000001</fb>
    <v>1</v>
  </rv>
  <rv s="0">
    <fb>45103</fb>
    <v>0</v>
  </rv>
  <rv s="0">
    <fb>185.27</fb>
    <v>1</v>
  </rv>
  <rv s="0">
    <fb>328.6</fb>
    <v>1</v>
  </rv>
  <rv s="0">
    <fb>118.34</fb>
    <v>1</v>
  </rv>
  <rv s="0">
    <fb>278.47000000000003</fb>
    <v>1</v>
  </rv>
  <rv s="0">
    <fb>40.631999999999998</fb>
    <v>1</v>
  </rv>
  <rv s="0">
    <fb>139.19</fb>
    <v>1</v>
  </rv>
  <rv s="0">
    <fb>226.3</fb>
    <v>1</v>
  </rv>
  <rv s="0">
    <fb>163.63</fb>
    <v>1</v>
  </rv>
  <rv s="0">
    <fb>241.05</fb>
    <v>1</v>
  </rv>
  <rv s="0">
    <fb>127.33</fb>
    <v>1</v>
  </rv>
  <rv s="0">
    <fb>45104</fb>
    <v>0</v>
  </rv>
  <rv s="0">
    <fb>188.06</fb>
    <v>1</v>
  </rv>
  <rv s="0">
    <fb>334.57</fb>
    <v>1</v>
  </rv>
  <rv s="0">
    <fb>118.33</fb>
    <v>1</v>
  </rv>
  <rv s="0">
    <fb>287.05</fb>
    <v>1</v>
  </rv>
  <rv s="0">
    <fb>41.875999999999998</fb>
    <v>1</v>
  </rv>
  <rv s="0">
    <fb>139.19999999999999</fb>
    <v>1</v>
  </rv>
  <rv s="0">
    <fb>227.34</fb>
    <v>1</v>
  </rv>
  <rv s="0">
    <fb>163.29</fb>
    <v>1</v>
  </rv>
  <rv s="0">
    <fb>250.21</fb>
    <v>1</v>
  </rv>
  <rv s="0">
    <fb>129.18</fb>
    <v>1</v>
  </rv>
  <rv s="0">
    <fb>45105</fb>
    <v>0</v>
  </rv>
  <rv s="0">
    <fb>189.25</fb>
    <v>1</v>
  </rv>
  <rv s="0">
    <fb>335.85</fb>
    <v>1</v>
  </rv>
  <rv s="0">
    <fb>120.18</fb>
    <v>1</v>
  </rv>
  <rv s="0">
    <fb>285.29000000000002</fb>
    <v>1</v>
  </rv>
  <rv s="0">
    <fb>41.116999999999997</fb>
    <v>1</v>
  </rv>
  <rv s="0">
    <fb>138.59</fb>
    <v>1</v>
  </rv>
  <rv s="0">
    <fb>227.96</fb>
    <v>1</v>
  </rv>
  <rv s="0">
    <fb>162.96</fb>
    <v>1</v>
  </rv>
  <rv s="0">
    <fb>256.24</fb>
    <v>1</v>
  </rv>
  <rv s="0">
    <fb>129.04</fb>
    <v>1</v>
  </rv>
  <rv s="0">
    <fb>45106</fb>
    <v>0</v>
  </rv>
  <rv s="0">
    <fb>189.59</fb>
    <v>1</v>
  </rv>
  <rv s="0">
    <fb>335.05</fb>
    <v>1</v>
  </rv>
  <rv s="0">
    <fb>119.1</fb>
    <v>1</v>
  </rv>
  <rv s="0">
    <fb>281.52999999999997</fb>
    <v>1</v>
  </rv>
  <rv s="0">
    <fb>40.822000000000003</fb>
    <v>1</v>
  </rv>
  <rv s="0">
    <fb>143.43</fb>
    <v>1</v>
  </rv>
  <rv s="0">
    <fb>234.32</fb>
    <v>1</v>
  </rv>
  <rv s="0">
    <fb>164.1</fb>
    <v>1</v>
  </rv>
  <rv s="0">
    <fb>257.5</fb>
    <v>1</v>
  </rv>
  <rv s="0">
    <fb>127.9</fb>
    <v>1</v>
  </rv>
  <rv s="0">
    <fb>45107</fb>
    <v>0</v>
  </rv>
  <rv s="0">
    <fb>193.97</fb>
    <v>1</v>
  </rv>
  <rv s="0">
    <fb>340.54</fb>
    <v>1</v>
  </rv>
  <rv s="0">
    <fb>119.7</fb>
    <v>1</v>
  </rv>
  <rv s="0">
    <fb>286.98</fb>
    <v>1</v>
  </rv>
  <rv s="0">
    <fb>42.302</fb>
    <v>1</v>
  </rv>
  <rv s="0">
    <fb>145.44</fb>
    <v>1</v>
  </rv>
  <rv s="0">
    <fb>237.48</fb>
    <v>1</v>
  </rv>
  <rv s="0">
    <fb>165.52</fb>
    <v>1</v>
  </rv>
  <rv s="0">
    <fb>261.77</fb>
    <v>1</v>
  </rv>
  <rv s="0">
    <fb>130.36000000000001</fb>
    <v>1</v>
  </rv>
  <rv s="0">
    <fb>45110</fb>
    <v>0</v>
  </rv>
  <rv s="0">
    <fb>192.46</fb>
    <v>1</v>
  </rv>
  <rv s="0">
    <fb>337.99</fb>
    <v>1</v>
  </rv>
  <rv s="0">
    <fb>119.9</fb>
    <v>1</v>
  </rv>
  <rv s="0">
    <fb>286.02</fb>
    <v>1</v>
  </rv>
  <rv s="0">
    <fb>42.412999999999997</fb>
    <v>1</v>
  </rv>
  <rv s="0">
    <fb>146.61000000000001</fb>
    <v>1</v>
  </rv>
  <rv s="0">
    <fb>237.97</fb>
    <v>1</v>
  </rv>
  <rv s="0">
    <fb>163.35</fb>
    <v>1</v>
  </rv>
  <rv s="0">
    <fb>279.82</fb>
    <v>1</v>
  </rv>
  <rv s="0">
    <fb>130.22</fb>
    <v>1</v>
  </rv>
  <rv s="0">
    <fb>45112</fb>
    <v>0</v>
  </rv>
  <rv s="0">
    <fb>191.33</fb>
    <v>1</v>
  </rv>
  <rv s="0">
    <fb>338.15</fb>
    <v>1</v>
  </rv>
  <rv s="0">
    <fb>121.75</fb>
    <v>1</v>
  </rv>
  <rv s="0">
    <fb>294.37</fb>
    <v>1</v>
  </rv>
  <rv s="0">
    <fb>42.317</fb>
    <v>1</v>
  </rv>
  <rv s="0">
    <fb>144.63999999999999</fb>
    <v>1</v>
  </rv>
  <rv s="0">
    <fb>239.45</fb>
    <v>1</v>
  </rv>
  <rv s="0">
    <fb>162.81</fb>
    <v>1</v>
  </rv>
  <rv s="0">
    <fb>282.48</fb>
    <v>1</v>
  </rv>
  <rv s="0">
    <fb>130.38</fb>
    <v>1</v>
  </rv>
  <rv s="0">
    <fb>45113</fb>
    <v>0</v>
  </rv>
  <rv s="0">
    <fb>341.27</fb>
    <v>1</v>
  </rv>
  <rv s="0">
    <fb>291.99</fb>
    <v>1</v>
  </rv>
  <rv s="0">
    <fb>42.103000000000002</fb>
    <v>1</v>
  </rv>
  <rv s="0">
    <fb>143.21</fb>
    <v>1</v>
  </rv>
  <rv s="0">
    <fb>238.88</fb>
    <v>1</v>
  </rv>
  <rv s="0">
    <fb>161.6</fb>
    <v>1</v>
  </rv>
  <rv s="0">
    <fb>276.54000000000002</fb>
    <v>1</v>
  </rv>
  <rv s="0">
    <fb>128.36000000000001</fb>
    <v>1</v>
  </rv>
  <rv s="0">
    <fb>45114</fb>
    <v>0</v>
  </rv>
  <rv s="0">
    <fb>190.68</fb>
    <v>1</v>
  </rv>
  <rv s="0">
    <fb>337.22</fb>
    <v>1</v>
  </rv>
  <rv s="0">
    <fb>119.48</fb>
    <v>1</v>
  </rv>
  <rv s="0">
    <fb>290.52999999999997</fb>
    <v>1</v>
  </rv>
  <rv s="0">
    <fb>42.503</fb>
    <v>1</v>
  </rv>
  <rv s="0">
    <fb>144.34</fb>
    <v>1</v>
  </rv>
  <rv s="0">
    <fb>236.45</fb>
    <v>1</v>
  </rv>
  <rv s="0">
    <fb>159.25</fb>
    <v>1</v>
  </rv>
  <rv s="0">
    <fb>274.43</fb>
    <v>1</v>
  </rv>
  <rv s="0">
    <fb>129.78</fb>
    <v>1</v>
  </rv>
  <rv s="0">
    <fb>45117</fb>
    <v>0</v>
  </rv>
  <rv s="0">
    <fb>188.61</fb>
    <v>1</v>
  </rv>
  <rv s="0">
    <fb>331.83</fb>
    <v>1</v>
  </rv>
  <rv s="0">
    <fb>116.45</fb>
    <v>1</v>
  </rv>
  <rv s="0">
    <fb>294.10000000000002</fb>
    <v>1</v>
  </rv>
  <rv s="0">
    <fb>42.18</fb>
    <v>1</v>
  </rv>
  <rv s="0">
    <fb>145.15</fb>
    <v>1</v>
  </rv>
  <rv s="0">
    <fb>238.16</fb>
    <v>1</v>
  </rv>
  <rv s="0">
    <fb>159.51</fb>
    <v>1</v>
  </rv>
  <rv s="0">
    <fb>269.61</fb>
    <v>1</v>
  </rv>
  <rv s="0">
    <fb>127.13</fb>
    <v>1</v>
  </rv>
  <rv s="0">
    <fb>45118</fb>
    <v>0</v>
  </rv>
  <rv s="0">
    <fb>188.08</fb>
    <v>1</v>
  </rv>
  <rv s="0">
    <fb>332.47</fb>
    <v>1</v>
  </rv>
  <rv s="0">
    <fb>117.14</fb>
    <v>1</v>
  </rv>
  <rv s="0">
    <fb>298.29000000000002</fb>
    <v>1</v>
  </rv>
  <rv s="0">
    <fb>42.405000000000001</fb>
    <v>1</v>
  </rv>
  <rv s="0">
    <fb>147.41999999999999</fb>
    <v>1</v>
  </rv>
  <rv s="0">
    <fb>240.55</fb>
    <v>1</v>
  </rv>
  <rv s="0">
    <fb>158.63</fb>
    <v>1</v>
  </rv>
  <rv s="0">
    <fb>269.79000000000002</fb>
    <v>1</v>
  </rv>
  <rv s="0">
    <fb>45119</fb>
    <v>0</v>
  </rv>
  <rv s="0">
    <fb>189.77</fb>
    <v>1</v>
  </rv>
  <rv s="0">
    <fb>337.2</fb>
    <v>1</v>
  </rv>
  <rv s="0">
    <fb>118.93</fb>
    <v>1</v>
  </rv>
  <rv s="0">
    <fb>309.33999999999997</fb>
    <v>1</v>
  </rv>
  <rv s="0">
    <fb>43.902000000000001</fb>
    <v>1</v>
  </rv>
  <rv s="0">
    <fb>148.15</fb>
    <v>1</v>
  </rv>
  <rv s="0">
    <fb>242.21</fb>
    <v>1</v>
  </rv>
  <rv s="0">
    <fb>158.08000000000001</fb>
    <v>1</v>
  </rv>
  <rv s="0">
    <fb>271.99</fb>
    <v>1</v>
  </rv>
  <rv s="0">
    <fb>130.80000000000001</fb>
    <v>1</v>
  </rv>
  <rv s="0">
    <fb>45120</fb>
    <v>0</v>
  </rv>
  <rv s="0">
    <fb>190.54</fb>
    <v>1</v>
  </rv>
  <rv s="0">
    <fb>342.66</fb>
    <v>1</v>
  </rv>
  <rv s="0">
    <fb>124.54</fb>
    <v>1</v>
  </rv>
  <rv s="0">
    <fb>313.41000000000003</fb>
    <v>1</v>
  </rv>
  <rv s="0">
    <fb>45.976999999999997</fb>
    <v>1</v>
  </rv>
  <rv s="0">
    <fb>148.87</fb>
    <v>1</v>
  </rv>
  <rv s="0">
    <fb>243.31</fb>
    <v>1</v>
  </rv>
  <rv s="0">
    <fb>158.81</fb>
    <v>1</v>
  </rv>
  <rv s="0">
    <fb>277.89999999999998</fb>
    <v>1</v>
  </rv>
  <rv s="0">
    <fb>134.30000000000001</fb>
    <v>1</v>
  </rv>
  <rv s="0">
    <fb>45121</fb>
    <v>0</v>
  </rv>
  <rv s="0">
    <fb>190.69</fb>
    <v>1</v>
  </rv>
  <rv s="0">
    <fb>345.24</fb>
    <v>1</v>
  </rv>
  <rv s="0">
    <fb>125.42</fb>
    <v>1</v>
  </rv>
  <rv s="0">
    <fb>308.87</fb>
    <v>1</v>
  </rv>
  <rv s="0">
    <fb>45.469000000000001</fb>
    <v>1</v>
  </rv>
  <rv s="0">
    <fb>149.77000000000001</fb>
    <v>1</v>
  </rv>
  <rv s="0">
    <fb>243.16</fb>
    <v>1</v>
  </rv>
  <rv s="0">
    <fb>159.87</fb>
    <v>1</v>
  </rv>
  <rv s="0">
    <fb>281.38</fb>
    <v>1</v>
  </rv>
  <rv s="0">
    <fb>134.68</fb>
    <v>1</v>
  </rv>
  <rv s="0">
    <fb>45124</fb>
    <v>0</v>
  </rv>
  <rv s="0">
    <fb>193.99</fb>
    <v>1</v>
  </rv>
  <rv s="0">
    <fb>345.73</fb>
    <v>1</v>
  </rv>
  <rv s="0">
    <fb>124.65</fb>
    <v>1</v>
  </rv>
  <rv s="0">
    <fb>310.62</fb>
    <v>1</v>
  </rv>
  <rv s="0">
    <fb>46.460999999999999</fb>
    <v>1</v>
  </rv>
  <rv s="0">
    <fb>153.38</fb>
    <v>1</v>
  </rv>
  <rv s="0">
    <fb>243.99</fb>
    <v>1</v>
  </rv>
  <rv s="0">
    <fb>159.07</fb>
    <v>1</v>
  </rv>
  <rv s="0">
    <fb>290.38</fb>
    <v>1</v>
  </rv>
  <rv s="0">
    <fb>133.56</fb>
    <v>1</v>
  </rv>
  <rv s="0">
    <fb>45125</fb>
    <v>0</v>
  </rv>
  <rv s="0">
    <fb>193.73</fb>
    <v>1</v>
  </rv>
  <rv s="0">
    <fb>359.49</fb>
    <v>1</v>
  </rv>
  <rv s="0">
    <fb>123.76</fb>
    <v>1</v>
  </rv>
  <rv s="0">
    <fb>312.05</fb>
    <v>1</v>
  </rv>
  <rv s="0">
    <fb>47.494</fb>
    <v>1</v>
  </rv>
  <rv s="0">
    <fb>153.66</fb>
    <v>1</v>
  </rv>
  <rv s="0">
    <fb>240.77</fb>
    <v>1</v>
  </rv>
  <rv s="0">
    <fb>159.06</fb>
    <v>1</v>
  </rv>
  <rv s="0">
    <fb>293.33999999999997</fb>
    <v>1</v>
  </rv>
  <rv s="0">
    <fb>132.83000000000001</fb>
    <v>1</v>
  </rv>
  <rv s="0">
    <fb>45126</fb>
    <v>0</v>
  </rv>
  <rv s="0">
    <fb>195.1</fb>
    <v>1</v>
  </rv>
  <rv s="0">
    <fb>355.08</fb>
    <v>1</v>
  </rv>
  <rv s="0">
    <fb>122.03</fb>
    <v>1</v>
  </rv>
  <rv s="0">
    <fb>316.01</fb>
    <v>1</v>
  </rv>
  <rv s="0">
    <fb>47.076999999999998</fb>
    <v>1</v>
  </rv>
  <rv s="0">
    <fb>154.25</fb>
    <v>1</v>
  </rv>
  <rv s="0">
    <fb>241.42</fb>
    <v>1</v>
  </rv>
  <rv s="0">
    <fb>158.74</fb>
    <v>1</v>
  </rv>
  <rv s="0">
    <fb>291.26</fb>
    <v>1</v>
  </rv>
  <rv s="0">
    <fb>45127</fb>
    <v>0</v>
  </rv>
  <rv s="0">
    <fb>193.13</fb>
    <v>1</v>
  </rv>
  <rv s="0">
    <fb>346.87</fb>
    <v>1</v>
  </rv>
  <rv s="0">
    <fb>119.2</fb>
    <v>1</v>
  </rv>
  <rv s="0">
    <fb>302.52</fb>
    <v>1</v>
  </rv>
  <rv s="0">
    <fb>45.52</fb>
    <v>1</v>
  </rv>
  <rv s="0">
    <fb>156.15</fb>
    <v>1</v>
  </rv>
  <rv s="0">
    <fb>239.62</fb>
    <v>1</v>
  </rv>
  <rv s="0">
    <fb>168.38</fb>
    <v>1</v>
  </rv>
  <rv s="0">
    <fb>262.89999999999998</fb>
    <v>1</v>
  </rv>
  <rv s="0">
    <fb>129.96</fb>
    <v>1</v>
  </rv>
  <rv s="0">
    <fb>45128</fb>
    <v>0</v>
  </rv>
  <rv s="0">
    <fb>191.94</fb>
    <v>1</v>
  </rv>
  <rv s="0">
    <fb>343.77</fb>
    <v>1</v>
  </rv>
  <rv s="0">
    <fb>120.02</fb>
    <v>1</v>
  </rv>
  <rv s="0">
    <fb>294.26</fb>
    <v>1</v>
  </rv>
  <rv s="0">
    <fb>44.308999999999997</fb>
    <v>1</v>
  </rv>
  <rv s="0">
    <fb>154.94999999999999</fb>
    <v>1</v>
  </rv>
  <rv s="0">
    <fb>239.25</fb>
    <v>1</v>
  </rv>
  <rv s="0">
    <fb>170.19</fb>
    <v>1</v>
  </rv>
  <rv s="0">
    <fb>260.02</fb>
    <v>1</v>
  </rv>
  <rv s="0">
    <fb>130</fb>
    <v>1</v>
  </rv>
  <rv s="0">
    <fb>45131</fb>
    <v>0</v>
  </rv>
  <rv s="0">
    <fb>192.75</fb>
    <v>1</v>
  </rv>
  <rv s="0">
    <fb>345.11</fb>
    <v>1</v>
  </rv>
  <rv s="0">
    <fb>121.53</fb>
    <v>1</v>
  </rv>
  <rv s="0">
    <fb>291.61</fb>
    <v>1</v>
  </rv>
  <rv s="0">
    <fb>44.612000000000002</fb>
    <v>1</v>
  </rv>
  <rv s="0">
    <fb>240.74</fb>
    <v>1</v>
  </rv>
  <rv s="0">
    <fb>171.08</fb>
    <v>1</v>
  </rv>
  <rv s="0">
    <fb>269.06</fb>
    <v>1</v>
  </rv>
  <rv s="0">
    <fb>128.80000000000001</fb>
    <v>1</v>
  </rv>
  <rv s="0">
    <fb>45132</fb>
    <v>0</v>
  </rv>
  <rv s="0">
    <fb>193.62</fb>
    <v>1</v>
  </rv>
  <rv s="0">
    <fb>350.98</fb>
    <v>1</v>
  </rv>
  <rv s="0">
    <fb>122.21</fb>
    <v>1</v>
  </rv>
  <rv s="0">
    <fb>294.47000000000003</fb>
    <v>1</v>
  </rv>
  <rv s="0">
    <fb>45.679000000000002</fb>
    <v>1</v>
  </rv>
  <rv s="0">
    <fb>156.82</fb>
    <v>1</v>
  </rv>
  <rv s="0">
    <fb>238.69</fb>
    <v>1</v>
  </rv>
  <rv s="0">
    <fb>172.39</fb>
    <v>1</v>
  </rv>
  <rv s="0">
    <fb>265.27999999999997</fb>
    <v>1</v>
  </rv>
  <rv s="0">
    <fb>129.13</fb>
    <v>1</v>
  </rv>
  <rv s="0">
    <fb>45133</fb>
    <v>0</v>
  </rv>
  <rv s="0">
    <fb>194.5</fb>
    <v>1</v>
  </rv>
  <rv s="0">
    <fb>337.77</fb>
    <v>1</v>
  </rv>
  <rv s="0">
    <fb>129.27000000000001</fb>
    <v>1</v>
  </rv>
  <rv s="0">
    <fb>298.57</fb>
    <v>1</v>
  </rv>
  <rv s="0">
    <fb>45.451999999999998</fb>
    <v>1</v>
  </rv>
  <rv s="0">
    <fb>157.76</fb>
    <v>1</v>
  </rv>
  <rv s="0">
    <fb>237.1</fb>
    <v>1</v>
  </rv>
  <rv s="0">
    <fb>172.72</fb>
    <v>1</v>
  </rv>
  <rv s="0">
    <fb>264.35000000000002</fb>
    <v>1</v>
  </rv>
  <rv s="0">
    <fb>128.15</fb>
    <v>1</v>
  </rv>
  <rv s="0">
    <fb>45134</fb>
    <v>0</v>
  </rv>
  <rv s="0">
    <fb>193.22</fb>
    <v>1</v>
  </rv>
  <rv s="0">
    <fb>330.72</fb>
    <v>1</v>
  </rv>
  <rv s="0">
    <fb>129.4</fb>
    <v>1</v>
  </rv>
  <rv s="0">
    <fb>311.70999999999998</fb>
    <v>1</v>
  </rv>
  <rv s="0">
    <fb>45.9</fb>
    <v>1</v>
  </rv>
  <rv s="0">
    <fb>156.02000000000001</fb>
    <v>1</v>
  </rv>
  <rv s="0">
    <fb>234.44</fb>
    <v>1</v>
  </rv>
  <rv s="0">
    <fb>173.69</fb>
    <v>1</v>
  </rv>
  <rv s="0">
    <fb>255.71</fb>
    <v>1</v>
  </rv>
  <rv s="0">
    <fb>128.25</fb>
    <v>1</v>
  </rv>
  <rv s="0">
    <fb>45135</fb>
    <v>0</v>
  </rv>
  <rv s="0">
    <fb>195.83</fb>
    <v>1</v>
  </rv>
  <rv s="0">
    <fb>338.37</fb>
    <v>1</v>
  </rv>
  <rv s="0">
    <fb>132.58000000000001</fb>
    <v>1</v>
  </rv>
  <rv s="0">
    <fb>325.48</fb>
    <v>1</v>
  </rv>
  <rv s="0">
    <fb>46.75</fb>
    <v>1</v>
  </rv>
  <rv s="0">
    <fb>156.91</fb>
    <v>1</v>
  </rv>
  <rv s="0">
    <fb>235.75</fb>
    <v>1</v>
  </rv>
  <rv s="0">
    <fb>266.44</fb>
    <v>1</v>
  </rv>
  <rv s="0">
    <fb>132.21</fb>
    <v>1</v>
  </rv>
  <rv s="0">
    <fb>45138</fb>
    <v>0</v>
  </rv>
  <rv s="0">
    <fb>196.45</fb>
    <v>1</v>
  </rv>
  <rv s="0">
    <fb>335.92</fb>
    <v>1</v>
  </rv>
  <rv s="0">
    <fb>132.72</fb>
    <v>1</v>
  </rv>
  <rv s="0">
    <fb>318.60000000000002</fb>
    <v>1</v>
  </rv>
  <rv s="0">
    <fb>46.728999999999999</fb>
    <v>1</v>
  </rv>
  <rv s="0">
    <fb>157.96</fb>
    <v>1</v>
  </rv>
  <rv s="0">
    <fb>237.73</fb>
    <v>1</v>
  </rv>
  <rv s="0">
    <fb>167.53</fb>
    <v>1</v>
  </rv>
  <rv s="0">
    <fb>267.43</fb>
    <v>1</v>
  </rv>
  <rv s="0">
    <fb>133.68</fb>
    <v>1</v>
  </rv>
  <rv s="0">
    <fb>45139</fb>
    <v>0</v>
  </rv>
  <rv s="0">
    <fb>195.60499999999999</fb>
    <v>1</v>
  </rv>
  <rv s="0">
    <fb>336.34</fb>
    <v>1</v>
  </rv>
  <rv s="0">
    <fb>131.55000000000001</fb>
    <v>1</v>
  </rv>
  <rv s="0">
    <fb>322.70999999999998</fb>
    <v>1</v>
  </rv>
  <rv s="0">
    <fb>46.506999999999998</fb>
    <v>1</v>
  </rv>
  <rv s="0">
    <fb>157.18</fb>
    <v>1</v>
  </rv>
  <rv s="0">
    <fb>239.78</fb>
    <v>1</v>
  </rv>
  <rv s="0">
    <fb>261.07</fb>
    <v>1</v>
  </rv>
  <rv s="0">
    <fb>131.69</fb>
    <v>1</v>
  </rv>
  <rv s="0">
    <fb>45140</fb>
    <v>0</v>
  </rv>
  <rv s="0">
    <fb>327.5</fb>
    <v>1</v>
  </rv>
  <rv s="0">
    <fb>128.38</fb>
    <v>1</v>
  </rv>
  <rv s="0">
    <fb>314.31</fb>
    <v>1</v>
  </rv>
  <rv s="0">
    <fb>44.268999999999998</fb>
    <v>1</v>
  </rv>
  <rv s="0">
    <fb>155.4</fb>
    <v>1</v>
  </rv>
  <rv s="0">
    <fb>237.56</fb>
    <v>1</v>
  </rv>
  <rv s="0">
    <fb>169.91</fb>
    <v>1</v>
  </rv>
  <rv s="0">
    <fb>254.11</fb>
    <v>1</v>
  </rv>
  <rv s="0">
    <fb>128.21</fb>
    <v>1</v>
  </rv>
  <rv s="0">
    <fb>45141</fb>
    <v>0</v>
  </rv>
  <rv s="0">
    <fb>191.17</fb>
    <v>1</v>
  </rv>
  <rv s="0">
    <fb>326.66000000000003</fb>
    <v>1</v>
  </rv>
  <rv s="0">
    <fb>128.44999999999999</fb>
    <v>1</v>
  </rv>
  <rv s="0">
    <fb>313.19</fb>
    <v>1</v>
  </rv>
  <rv s="0">
    <fb>44.515000000000001</fb>
    <v>1</v>
  </rv>
  <rv s="0">
    <fb>156.35</fb>
    <v>1</v>
  </rv>
  <rv s="0">
    <fb>238.76</fb>
    <v>1</v>
  </rv>
  <rv s="0">
    <fb>170.64</fb>
    <v>1</v>
  </rv>
  <rv s="0">
    <fb>259.32</fb>
    <v>1</v>
  </rv>
  <rv s="0">
    <fb>128.91</fb>
    <v>1</v>
  </rv>
  <rv s="0">
    <fb>45142</fb>
    <v>0</v>
  </rv>
  <rv s="0">
    <fb>181.99</fb>
    <v>1</v>
  </rv>
  <rv s="0">
    <fb>327.78</fb>
    <v>1</v>
  </rv>
  <rv s="0">
    <fb>128.11000000000001</fb>
    <v>1</v>
  </rv>
  <rv s="0">
    <fb>310.73</fb>
    <v>1</v>
  </rv>
  <rv s="0">
    <fb>44.68</fb>
    <v>1</v>
  </rv>
  <rv s="0">
    <fb>238.99</fb>
    <v>1</v>
  </rv>
  <rv s="0">
    <fb>169.04</fb>
    <v>1</v>
  </rv>
  <rv s="0">
    <fb>253.86</fb>
    <v>1</v>
  </rv>
  <rv s="0">
    <fb>139.57</fb>
    <v>1</v>
  </rv>
  <rv s="0">
    <fb>45145</fb>
    <v>0</v>
  </rv>
  <rv s="0">
    <fb>178.85</fb>
    <v>1</v>
  </rv>
  <rv s="0">
    <fb>330.11</fb>
    <v>1</v>
  </rv>
  <rv s="0">
    <fb>131.53</fb>
    <v>1</v>
  </rv>
  <rv s="0">
    <fb>316.56</fb>
    <v>1</v>
  </rv>
  <rv s="0">
    <fb>45.416499999999999</fb>
    <v>1</v>
  </rv>
  <rv s="0">
    <fb>156.76</fb>
    <v>1</v>
  </rv>
  <rv s="0">
    <fb>241.51</fb>
    <v>1</v>
  </rv>
  <rv s="0">
    <fb>173.1</fb>
    <v>1</v>
  </rv>
  <rv s="0">
    <fb>251.45</fb>
    <v>1</v>
  </rv>
  <rv s="0">
    <fb>142.22</fb>
    <v>1</v>
  </rv>
  <rv s="0">
    <fb>45146</fb>
    <v>0</v>
  </rv>
  <rv s="0">
    <fb>179.8</fb>
    <v>1</v>
  </rv>
  <rv s="0">
    <fb>326.05</fb>
    <v>1</v>
  </rv>
  <rv s="0">
    <fb>131.4</fb>
    <v>1</v>
  </rv>
  <rv s="0">
    <fb>312.64</fb>
    <v>1</v>
  </rv>
  <rv s="0">
    <fb>44.664000000000001</fb>
    <v>1</v>
  </rv>
  <rv s="0">
    <fb>155.88</fb>
    <v>1</v>
  </rv>
  <rv s="0">
    <fb>239.29</fb>
    <v>1</v>
  </rv>
  <rv s="0">
    <fb>173.18</fb>
    <v>1</v>
  </rv>
  <rv s="0">
    <fb>249.7</fb>
    <v>1</v>
  </rv>
  <rv s="0">
    <fb>139.94</fb>
    <v>1</v>
  </rv>
  <rv s="0">
    <fb>45147</fb>
    <v>0</v>
  </rv>
  <rv s="0">
    <fb>322.23</fb>
    <v>1</v>
  </rv>
  <rv s="0">
    <fb>129.66</fb>
    <v>1</v>
  </rv>
  <rv s="0">
    <fb>305.20999999999998</fb>
    <v>1</v>
  </rv>
  <rv s="0">
    <fb>42.554000000000002</fb>
    <v>1</v>
  </rv>
  <rv s="0">
    <fb>153.79</fb>
    <v>1</v>
  </rv>
  <rv s="0">
    <fb>239.76</fb>
    <v>1</v>
  </rv>
  <rv s="0">
    <fb>173.07</fb>
    <v>1</v>
  </rv>
  <rv s="0">
    <fb>242.19</fb>
    <v>1</v>
  </rv>
  <rv s="0">
    <fb>137.85</fb>
    <v>1</v>
  </rv>
  <rv s="0">
    <fb>45148</fb>
    <v>0</v>
  </rv>
  <rv s="0">
    <fb>177.97</fb>
    <v>1</v>
  </rv>
  <rv s="0">
    <fb>322.93</fb>
    <v>1</v>
  </rv>
  <rv s="0">
    <fb>129.69</fb>
    <v>1</v>
  </rv>
  <rv s="0">
    <fb>305.74</fb>
    <v>1</v>
  </rv>
  <rv s="0">
    <fb>42.387999999999998</fb>
    <v>1</v>
  </rv>
  <rv s="0">
    <fb>153.56</fb>
    <v>1</v>
  </rv>
  <rv s="0">
    <fb>240.16</fb>
    <v>1</v>
  </rv>
  <rv s="0">
    <fb>172.17</fb>
    <v>1</v>
  </rv>
  <rv s="0">
    <fb>245.34</fb>
    <v>1</v>
  </rv>
  <rv s="0">
    <fb>45149</fb>
    <v>0</v>
  </rv>
  <rv s="0">
    <fb>177.79</fb>
    <v>1</v>
  </rv>
  <rv s="0">
    <fb>321.01</fb>
    <v>1</v>
  </rv>
  <rv s="0">
    <fb>129.56</fb>
    <v>1</v>
  </rv>
  <rv s="0">
    <fb>301.64</fb>
    <v>1</v>
  </rv>
  <rv s="0">
    <fb>40.854999999999997</fb>
    <v>1</v>
  </rv>
  <rv s="0">
    <fb>154.44999999999999</fb>
    <v>1</v>
  </rv>
  <rv s="0">
    <fb>240.04</fb>
    <v>1</v>
  </rv>
  <rv s="0">
    <fb>173.85</fb>
    <v>1</v>
  </rv>
  <rv s="0">
    <fb>242.65</fb>
    <v>1</v>
  </rv>
  <rv s="0">
    <fb>138.41</fb>
    <v>1</v>
  </rv>
  <rv s="0">
    <fb>45152</fb>
    <v>0</v>
  </rv>
  <rv s="0">
    <fb>179.46</fb>
    <v>1</v>
  </rv>
  <rv s="0">
    <fb>324.04000000000002</fb>
    <v>1</v>
  </rv>
  <rv s="0">
    <fb>131.33000000000001</fb>
    <v>1</v>
  </rv>
  <rv s="0">
    <fb>306.19</fb>
    <v>1</v>
  </rv>
  <rv s="0">
    <fb>43.753</fb>
    <v>1</v>
  </rv>
  <rv s="0">
    <fb>154.77000000000001</fb>
    <v>1</v>
  </rv>
  <rv s="0">
    <fb>242.9</fb>
    <v>1</v>
  </rv>
  <rv s="0">
    <fb>140.57</fb>
    <v>1</v>
  </rv>
  <rv s="0">
    <fb>45153</fb>
    <v>0</v>
  </rv>
  <rv s="0">
    <fb>177.45</fb>
    <v>1</v>
  </rv>
  <rv s="0">
    <fb>321.86</fb>
    <v>1</v>
  </rv>
  <rv s="0">
    <fb>301.95</fb>
    <v>1</v>
  </rv>
  <rv s="0">
    <fb>43.94</fb>
    <v>1</v>
  </rv>
  <rv s="0">
    <fb>150.83000000000001</fb>
    <v>1</v>
  </rv>
  <rv s="0">
    <fb>239.83</fb>
    <v>1</v>
  </rv>
  <rv s="0">
    <fb>172.94</fb>
    <v>1</v>
  </rv>
  <rv s="0">
    <fb>232.96</fb>
    <v>1</v>
  </rv>
  <rv s="0">
    <fb>45154</fb>
    <v>0</v>
  </rv>
  <rv s="0">
    <fb>176.57</fb>
    <v>1</v>
  </rv>
  <rv s="0">
    <fb>320.39999999999998</fb>
    <v>1</v>
  </rv>
  <rv s="0">
    <fb>128.69999999999999</fb>
    <v>1</v>
  </rv>
  <rv s="0">
    <fb>294.29000000000002</fb>
    <v>1</v>
  </rv>
  <rv s="0">
    <fb>43.485999999999997</fb>
    <v>1</v>
  </rv>
  <rv s="0">
    <fb>150.19</fb>
    <v>1</v>
  </rv>
  <rv s="0">
    <fb>135.07</fb>
    <v>1</v>
  </rv>
  <rv s="0">
    <fb>45155</fb>
    <v>0</v>
  </rv>
  <rv s="0">
    <fb>316.88</fb>
    <v>1</v>
  </rv>
  <rv s="0">
    <fb>129.91999999999999</fb>
    <v>1</v>
  </rv>
  <rv s="0">
    <fb>285.08999999999997</fb>
    <v>1</v>
  </rv>
  <rv s="0">
    <fb>43.343499999999999</fb>
    <v>1</v>
  </rv>
  <rv s="0">
    <fb>148.63</fb>
    <v>1</v>
  </rv>
  <rv s="0">
    <fb>237.37</fb>
    <v>1</v>
  </rv>
  <rv s="0">
    <fb>174.01</fb>
    <v>1</v>
  </rv>
  <rv s="0">
    <fb>219.22</fb>
    <v>1</v>
  </rv>
  <rv s="0">
    <fb>133.97999999999999</fb>
    <v>1</v>
  </rv>
  <rv s="0">
    <fb>45156</fb>
    <v>0</v>
  </rv>
  <rv s="0">
    <fb>174.49</fb>
    <v>1</v>
  </rv>
  <rv s="0">
    <fb>316.48</fb>
    <v>1</v>
  </rv>
  <rv s="0">
    <fb>127.46</fb>
    <v>1</v>
  </rv>
  <rv s="0">
    <fb>283.25</fb>
    <v>1</v>
  </rv>
  <rv s="0">
    <fb>43.298999999999999</fb>
    <v>1</v>
  </rv>
  <rv s="0">
    <fb>238.17</fb>
    <v>1</v>
  </rv>
  <rv s="0">
    <fb>172.49</fb>
    <v>1</v>
  </rv>
  <rv s="0">
    <fb>215.49</fb>
    <v>1</v>
  </rv>
  <rv s="0">
    <fb>133.22</fb>
    <v>1</v>
  </rv>
  <rv s="0">
    <fb>45159</fb>
    <v>0</v>
  </rv>
  <rv s="0">
    <fb>175.84</fb>
    <v>1</v>
  </rv>
  <rv s="0">
    <fb>321.88</fb>
    <v>1</v>
  </rv>
  <rv s="0">
    <fb>128.37</fb>
    <v>1</v>
  </rv>
  <rv s="0">
    <fb>289.89999999999998</fb>
    <v>1</v>
  </rv>
  <rv s="0">
    <fb>46.966999999999999</fb>
    <v>1</v>
  </rv>
  <rv s="0">
    <fb>149.47999999999999</fb>
    <v>1</v>
  </rv>
  <rv s="0">
    <fb>239.46</fb>
    <v>1</v>
  </rv>
  <rv s="0">
    <fb>167.35</fb>
    <v>1</v>
  </rv>
  <rv s="0">
    <fb>45160</fb>
    <v>0</v>
  </rv>
  <rv s="0">
    <fb>177.23</fb>
    <v>1</v>
  </rv>
  <rv s="0">
    <fb>322.45999999999998</fb>
    <v>1</v>
  </rv>
  <rv s="0">
    <fb>129.08000000000001</fb>
    <v>1</v>
  </rv>
  <rv s="0">
    <fb>287.60000000000002</fb>
    <v>1</v>
  </rv>
  <rv s="0">
    <fb>45.667999999999999</fb>
    <v>1</v>
  </rv>
  <rv s="0">
    <fb>146.38</fb>
    <v>1</v>
  </rv>
  <rv s="0">
    <fb>240.57</fb>
    <v>1</v>
  </rv>
  <rv s="0">
    <fb>166.02</fb>
    <v>1</v>
  </rv>
  <rv s="0">
    <fb>233.19</fb>
    <v>1</v>
  </rv>
  <rv s="0">
    <fb>134.25</fb>
    <v>1</v>
  </rv>
  <rv s="0">
    <fb>45161</fb>
    <v>0</v>
  </rv>
  <rv s="0">
    <fb>181.12</fb>
    <v>1</v>
  </rv>
  <rv s="0">
    <fb>327</fb>
    <v>1</v>
  </rv>
  <rv s="0">
    <fb>132.37</fb>
    <v>1</v>
  </rv>
  <rv s="0">
    <fb>294.24</fb>
    <v>1</v>
  </rv>
  <rv s="0">
    <fb>47.116</fb>
    <v>1</v>
  </rv>
  <rv s="0">
    <fb>147.37</fb>
    <v>1</v>
  </rv>
  <rv s="0">
    <fb>242.3</fb>
    <v>1</v>
  </rv>
  <rv s="0">
    <fb>164.53</fb>
    <v>1</v>
  </rv>
  <rv s="0">
    <fb>236.86</fb>
    <v>1</v>
  </rv>
  <rv s="0">
    <fb>135.52000000000001</fb>
    <v>1</v>
  </rv>
  <rv s="0">
    <fb>45162</fb>
    <v>0</v>
  </rv>
  <rv s="0">
    <fb>176.38</fb>
    <v>1</v>
  </rv>
  <rv s="0">
    <fb>319.97000000000003</fb>
    <v>1</v>
  </rv>
  <rv s="0">
    <fb>286.75</fb>
    <v>1</v>
  </rv>
  <rv s="0">
    <fb>47.162999999999997</fb>
    <v>1</v>
  </rv>
  <rv s="0">
    <fb>147.22999999999999</fb>
    <v>1</v>
  </rv>
  <rv s="0">
    <fb>239.47</fb>
    <v>1</v>
  </rv>
  <rv s="0">
    <fb>165.09</fb>
    <v>1</v>
  </rv>
  <rv s="0">
    <fb>230.04</fb>
    <v>1</v>
  </rv>
  <rv s="0">
    <fb>131.84</fb>
    <v>1</v>
  </rv>
  <rv s="0">
    <fb>45163</fb>
    <v>0</v>
  </rv>
  <rv s="0">
    <fb>178.61</fb>
    <v>1</v>
  </rv>
  <rv s="0">
    <fb>322.98</fb>
    <v>1</v>
  </rv>
  <rv s="0">
    <fb>129.88</fb>
    <v>1</v>
  </rv>
  <rv s="0">
    <fb>285.5</fb>
    <v>1</v>
  </rv>
  <rv s="0">
    <fb>46.018000000000001</fb>
    <v>1</v>
  </rv>
  <rv s="0">
    <fb>147.05000000000001</fb>
    <v>1</v>
  </rv>
  <rv s="0">
    <fb>242.57</fb>
    <v>1</v>
  </rv>
  <rv s="0">
    <fb>166.25</fb>
    <v>1</v>
  </rv>
  <rv s="0">
    <fb>238.59</fb>
    <v>1</v>
  </rv>
  <rv s="0">
    <fb>133.26</fb>
    <v>1</v>
  </rv>
  <rv s="0">
    <fb>45166</fb>
    <v>0</v>
  </rv>
  <rv s="0">
    <fb>180.19</fb>
    <v>1</v>
  </rv>
  <rv s="0">
    <fb>323.7</fb>
    <v>1</v>
  </rv>
  <rv s="0">
    <fb>131.01</fb>
    <v>1</v>
  </rv>
  <rv s="0">
    <fb>290.26</fb>
    <v>1</v>
  </rv>
  <rv s="0">
    <fb>46.835000000000001</fb>
    <v>1</v>
  </rv>
  <rv s="0">
    <fb>147.56</fb>
    <v>1</v>
  </rv>
  <rv s="0">
    <fb>243.83</fb>
    <v>1</v>
  </rv>
  <rv s="0">
    <fb>164.29</fb>
    <v>1</v>
  </rv>
  <rv s="0">
    <fb>133.13999999999999</fb>
    <v>1</v>
  </rv>
  <rv s="0">
    <fb>45167</fb>
    <v>0</v>
  </rv>
  <rv s="0">
    <fb>184.12</fb>
    <v>1</v>
  </rv>
  <rv s="0">
    <fb>328.41</fb>
    <v>1</v>
  </rv>
  <rv s="0">
    <fb>134.57</fb>
    <v>1</v>
  </rv>
  <rv s="0">
    <fb>297.99</fb>
    <v>1</v>
  </rv>
  <rv s="0">
    <fb>48.783999999999999</fb>
    <v>1</v>
  </rv>
  <rv s="0">
    <fb>148.76</fb>
    <v>1</v>
  </rv>
  <rv s="0">
    <fb>257.18</fb>
    <v>1</v>
  </rv>
  <rv s="0">
    <fb>134.91</fb>
    <v>1</v>
  </rv>
  <rv s="0">
    <fb>45168</fb>
    <v>0</v>
  </rv>
  <rv s="0">
    <fb>187.65</fb>
    <v>1</v>
  </rv>
  <rv s="0">
    <fb>328.79</fb>
    <v>1</v>
  </rv>
  <rv s="0">
    <fb>135.88</fb>
    <v>1</v>
  </rv>
  <rv s="0">
    <fb>295.10000000000002</fb>
    <v>1</v>
  </rv>
  <rv s="0">
    <fb>49.264000000000003</fb>
    <v>1</v>
  </rv>
  <rv s="0">
    <fb>148.16</fb>
    <v>1</v>
  </rv>
  <rv s="0">
    <fb>246.23</fb>
    <v>1</v>
  </rv>
  <rv s="0">
    <fb>256.89999999999998</fb>
    <v>1</v>
  </rv>
  <rv s="0">
    <fb>45169</fb>
    <v>0</v>
  </rv>
  <rv s="0">
    <fb>187.87</fb>
    <v>1</v>
  </rv>
  <rv s="0">
    <fb>327.76</fb>
    <v>1</v>
  </rv>
  <rv s="0">
    <fb>136.16999999999999</fb>
    <v>1</v>
  </rv>
  <rv s="0">
    <fb>295.89</fb>
    <v>1</v>
  </rv>
  <rv s="0">
    <fb>49.354999999999997</fb>
    <v>1</v>
  </rv>
  <rv s="0">
    <fb>146.33000000000001</fb>
    <v>1</v>
  </rv>
  <rv s="0">
    <fb>245.68</fb>
    <v>1</v>
  </rv>
  <rv s="0">
    <fb>161.68</fb>
    <v>1</v>
  </rv>
  <rv s="0">
    <fb>258.08</fb>
    <v>1</v>
  </rv>
  <rv s="0">
    <fb>138.01</fb>
    <v>1</v>
  </rv>
  <rv s="0">
    <fb>45170</fb>
    <v>0</v>
  </rv>
  <rv s="0">
    <fb>189.46</fb>
    <v>1</v>
  </rv>
  <rv s="0">
    <fb>328.66</fb>
    <v>1</v>
  </rv>
  <rv s="0">
    <fb>135.66</fb>
    <v>1</v>
  </rv>
  <rv s="0">
    <fb>296.38</fb>
    <v>1</v>
  </rv>
  <rv s="0">
    <fb>48.509</fb>
    <v>1</v>
  </rv>
  <rv s="0">
    <fb>146.82</fb>
    <v>1</v>
  </rv>
  <rv s="0">
    <fb>248.11</fb>
    <v>1</v>
  </rv>
  <rv s="0">
    <fb>160.47999999999999</fb>
    <v>1</v>
  </rv>
  <rv s="0">
    <fb>245.01</fb>
    <v>1</v>
  </rv>
  <rv s="0">
    <fb>138.12</fb>
    <v>1</v>
  </rv>
  <rv s="0">
    <fb>45174</fb>
    <v>0</v>
  </rv>
  <rv s="0">
    <fb>189.7</fb>
    <v>1</v>
  </rv>
  <rv s="0">
    <fb>333.55</fb>
    <v>1</v>
  </rv>
  <rv s="0">
    <fb>135.77000000000001</fb>
    <v>1</v>
  </rv>
  <rv s="0">
    <fb>300.14999999999998</fb>
    <v>1</v>
  </rv>
  <rv s="0">
    <fb>48.548000000000002</fb>
    <v>1</v>
  </rv>
  <rv s="0">
    <fb>145.19999999999999</fb>
    <v>1</v>
  </rv>
  <rv s="0">
    <fb>160.68</fb>
    <v>1</v>
  </rv>
  <rv s="0">
    <fb>256.49</fb>
    <v>1</v>
  </rv>
  <rv s="0">
    <fb>45175</fb>
    <v>0</v>
  </rv>
  <rv s="0">
    <fb>182.91</fb>
    <v>1</v>
  </rv>
  <rv s="0">
    <fb>332.88</fb>
    <v>1</v>
  </rv>
  <rv s="0">
    <fb>134.46</fb>
    <v>1</v>
  </rv>
  <rv s="0">
    <fb>299.17</fb>
    <v>1</v>
  </rv>
  <rv s="0">
    <fb>47.061</fb>
    <v>1</v>
  </rv>
  <rv s="0">
    <fb>144.96</fb>
    <v>1</v>
  </rv>
  <rv s="0">
    <fb>246.16</fb>
    <v>1</v>
  </rv>
  <rv s="0">
    <fb>158.01</fb>
    <v>1</v>
  </rv>
  <rv s="0">
    <fb>251.92</fb>
    <v>1</v>
  </rv>
  <rv s="0">
    <fb>45176</fb>
    <v>0</v>
  </rv>
  <rv s="0">
    <fb>177.56</fb>
    <v>1</v>
  </rv>
  <rv s="0">
    <fb>329.91</fb>
    <v>1</v>
  </rv>
  <rv s="0">
    <fb>135.26</fb>
    <v>1</v>
  </rv>
  <rv s="0">
    <fb>298.67</fb>
    <v>1</v>
  </rv>
  <rv s="0">
    <fb>46.241</fb>
    <v>1</v>
  </rv>
  <rv s="0">
    <fb>143.72</fb>
    <v>1</v>
  </rv>
  <rv s="0">
    <fb>247.14</fb>
    <v>1</v>
  </rv>
  <rv s="0">
    <fb>160.03</fb>
    <v>1</v>
  </rv>
  <rv s="0">
    <fb>251.49</fb>
    <v>1</v>
  </rv>
  <rv s="0">
    <fb>45177</fb>
    <v>0</v>
  </rv>
  <rv s="0">
    <fb>178.18</fb>
    <v>1</v>
  </rv>
  <rv s="0">
    <fb>334.27</fb>
    <v>1</v>
  </rv>
  <rv s="0">
    <fb>297.89</fb>
    <v>1</v>
  </rv>
  <rv s="0">
    <fb>45.572000000000003</fb>
    <v>1</v>
  </rv>
  <rv s="0">
    <fb>143.83000000000001</fb>
    <v>1</v>
  </rv>
  <rv s="0">
    <fb>247.29</fb>
    <v>1</v>
  </rv>
  <rv s="0">
    <fb>160.56</fb>
    <v>1</v>
  </rv>
  <rv s="0">
    <fb>248.5</fb>
    <v>1</v>
  </rv>
  <rv s="0">
    <fb>138.22999999999999</fb>
    <v>1</v>
  </rv>
  <rv s="0">
    <fb>45180</fb>
    <v>0</v>
  </rv>
  <rv s="0">
    <fb>179.36</fb>
    <v>1</v>
  </rv>
  <rv s="0">
    <fb>337.94</fb>
    <v>1</v>
  </rv>
  <rv s="0">
    <fb>136.91999999999999</fb>
    <v>1</v>
  </rv>
  <rv s="0">
    <fb>307.56</fb>
    <v>1</v>
  </rv>
  <rv s="0">
    <fb>45.177999999999997</fb>
    <v>1</v>
  </rv>
  <rv s="0">
    <fb>144.46</fb>
    <v>1</v>
  </rv>
  <rv s="0">
    <fb>247.22</fb>
    <v>1</v>
  </rv>
  <rv s="0">
    <fb>162.66</fb>
    <v>1</v>
  </rv>
  <rv s="0">
    <fb>273.58</fb>
    <v>1</v>
  </rv>
  <rv s="0">
    <fb>143.1</fb>
    <v>1</v>
  </rv>
  <rv s="0">
    <fb>45181</fb>
    <v>0</v>
  </rv>
  <rv s="0">
    <fb>176.3</fb>
    <v>1</v>
  </rv>
  <rv s="0">
    <fb>331.77</fb>
    <v>1</v>
  </rv>
  <rv s="0">
    <fb>301.66000000000003</fb>
    <v>1</v>
  </rv>
  <rv s="0">
    <fb>44.87</fb>
    <v>1</v>
  </rv>
  <rv s="0">
    <fb>146.34</fb>
    <v>1</v>
  </rv>
  <rv s="0">
    <fb>247.3</fb>
    <v>1</v>
  </rv>
  <rv s="0">
    <fb>267.48</fb>
    <v>1</v>
  </rv>
  <rv s="0">
    <fb>141.22999999999999</fb>
    <v>1</v>
  </rv>
  <rv s="0">
    <fb>45182</fb>
    <v>0</v>
  </rv>
  <rv s="0">
    <fb>174.21</fb>
    <v>1</v>
  </rv>
  <rv s="0">
    <fb>336.06</fb>
    <v>1</v>
  </rv>
  <rv s="0">
    <fb>305.06</fb>
    <v>1</v>
  </rv>
  <rv s="0">
    <fb>45.484999999999999</fb>
    <v>1</v>
  </rv>
  <rv s="0">
    <fb>146.41</fb>
    <v>1</v>
  </rv>
  <rv s="0">
    <fb>247.83</fb>
    <v>1</v>
  </rv>
  <rv s="0">
    <fb>163.99</fb>
    <v>1</v>
  </rv>
  <rv s="0">
    <fb>271.3</fb>
    <v>1</v>
  </rv>
  <rv s="0">
    <fb>144.85</fb>
    <v>1</v>
  </rv>
  <rv s="0">
    <fb>45183</fb>
    <v>0</v>
  </rv>
  <rv s="0">
    <fb>175.74</fb>
    <v>1</v>
  </rv>
  <rv s="0">
    <fb>338.7</fb>
    <v>1</v>
  </rv>
  <rv s="0">
    <fb>138.1</fb>
    <v>1</v>
  </rv>
  <rv s="0">
    <fb>311.72000000000003</fb>
    <v>1</v>
  </rv>
  <rv s="0">
    <fb>45.581000000000003</fb>
    <v>1</v>
  </rv>
  <rv s="0">
    <fb>149.25</fb>
    <v>1</v>
  </rv>
  <rv s="0">
    <fb>241.5</fb>
    <v>1</v>
  </rv>
  <rv s="0">
    <fb>163.74</fb>
    <v>1</v>
  </rv>
  <rv s="0">
    <fb>276.04000000000002</fb>
    <v>1</v>
  </rv>
  <rv s="0">
    <fb>144.72</fb>
    <v>1</v>
  </rv>
  <rv s="0">
    <fb>45184</fb>
    <v>0</v>
  </rv>
  <rv s="0">
    <fb>175.01</fb>
    <v>1</v>
  </rv>
  <rv s="0">
    <fb>330.22</fb>
    <v>1</v>
  </rv>
  <rv s="0">
    <fb>137.4</fb>
    <v>1</v>
  </rv>
  <rv s="0">
    <fb>300.31</fb>
    <v>1</v>
  </rv>
  <rv s="0">
    <fb>43.9</fb>
    <v>1</v>
  </rv>
  <rv s="0">
    <fb>148.81</fb>
    <v>1</v>
  </rv>
  <rv s="0">
    <fb>241.07</fb>
    <v>1</v>
  </rv>
  <rv s="0">
    <fb>161.44999999999999</fb>
    <v>1</v>
  </rv>
  <rv s="0">
    <fb>274.39</fb>
    <v>1</v>
  </rv>
  <rv s="0">
    <fb>140.38999999999999</fb>
    <v>1</v>
  </rv>
  <rv s="0">
    <fb>45187</fb>
    <v>0</v>
  </rv>
  <rv s="0">
    <fb>329.06</fb>
    <v>1</v>
  </rv>
  <rv s="0">
    <fb>138.21</fb>
    <v>1</v>
  </rv>
  <rv s="0">
    <fb>302.55</fb>
    <v>1</v>
  </rv>
  <rv s="0">
    <fb>43.966000000000001</fb>
    <v>1</v>
  </rv>
  <rv s="0">
    <fb>149.12</fb>
    <v>1</v>
  </rv>
  <rv s="0">
    <fb>244.66</fb>
    <v>1</v>
  </rv>
  <rv s="0">
    <fb>162.47</fb>
    <v>1</v>
  </rv>
  <rv s="0">
    <fb>45188</fb>
    <v>0</v>
  </rv>
  <rv s="0">
    <fb>179.07</fb>
    <v>1</v>
  </rv>
  <rv s="0">
    <fb>328.65</fb>
    <v>1</v>
  </rv>
  <rv s="0">
    <fb>138.04</fb>
    <v>1</v>
  </rv>
  <rv s="0">
    <fb>305.07</fb>
    <v>1</v>
  </rv>
  <rv s="0">
    <fb>43.52</fb>
    <v>1</v>
  </rv>
  <rv s="0">
    <fb>148.93</fb>
    <v>1</v>
  </rv>
  <rv s="0">
    <fb>243.56</fb>
    <v>1</v>
  </rv>
  <rv s="0">
    <fb>162.19999999999999</fb>
    <v>1</v>
  </rv>
  <rv s="0">
    <fb>266.5</fb>
    <v>1</v>
  </rv>
  <rv s="0">
    <fb>137.63</fb>
    <v>1</v>
  </rv>
  <rv s="0">
    <fb>45189</fb>
    <v>0</v>
  </rv>
  <rv s="0">
    <fb>175.49</fb>
    <v>1</v>
  </rv>
  <rv s="0">
    <fb>320.77</fb>
    <v>1</v>
  </rv>
  <rv s="0">
    <fb>133.74</fb>
    <v>1</v>
  </rv>
  <rv s="0">
    <fb>299.67</fb>
    <v>1</v>
  </rv>
  <rv s="0">
    <fb>42.238999999999997</fb>
    <v>1</v>
  </rv>
  <rv s="0">
    <fb>148.30000000000001</fb>
    <v>1</v>
  </rv>
  <rv s="0">
    <fb>241.86</fb>
    <v>1</v>
  </rv>
  <rv s="0">
    <fb>162.91</fb>
    <v>1</v>
  </rv>
  <rv s="0">
    <fb>262.58999999999997</fb>
    <v>1</v>
  </rv>
  <rv s="0">
    <fb>135.29</fb>
    <v>1</v>
  </rv>
  <rv s="0">
    <fb>45190</fb>
    <v>0</v>
  </rv>
  <rv s="0">
    <fb>173.93</fb>
    <v>1</v>
  </rv>
  <rv s="0">
    <fb>319.52999999999997</fb>
    <v>1</v>
  </rv>
  <rv s="0">
    <fb>130.44</fb>
    <v>1</v>
  </rv>
  <rv s="0">
    <fb>295.73</fb>
    <v>1</v>
  </rv>
  <rv s="0">
    <fb>41.017000000000003</fb>
    <v>1</v>
  </rv>
  <rv s="0">
    <fb>147.13999999999999</fb>
    <v>1</v>
  </rv>
  <rv s="0">
    <fb>236.61</fb>
    <v>1</v>
  </rv>
  <rv s="0">
    <fb>161.66</fb>
    <v>1</v>
  </rv>
  <rv s="0">
    <fb>255.7</fb>
    <v>1</v>
  </rv>
  <rv s="0">
    <fb>45191</fb>
    <v>0</v>
  </rv>
  <rv s="0">
    <fb>174.79</fb>
    <v>1</v>
  </rv>
  <rv s="0">
    <fb>317.01</fb>
    <v>1</v>
  </rv>
  <rv s="0">
    <fb>130.25</fb>
    <v>1</v>
  </rv>
  <rv s="0">
    <fb>299.08</fb>
    <v>1</v>
  </rv>
  <rv s="0">
    <fb>41.61</fb>
    <v>1</v>
  </rv>
  <rv s="0">
    <fb>145.72999999999999</fb>
    <v>1</v>
  </rv>
  <rv s="0">
    <fb>235.08</fb>
    <v>1</v>
  </rv>
  <rv s="0">
    <fb>160.5</fb>
    <v>1</v>
  </rv>
  <rv s="0">
    <fb>244.88</fb>
    <v>1</v>
  </rv>
  <rv s="0">
    <fb>129.12</fb>
    <v>1</v>
  </rv>
  <rv s="0">
    <fb>45194</fb>
    <v>0</v>
  </rv>
  <rv s="0">
    <fb>176.08</fb>
    <v>1</v>
  </rv>
  <rv s="0">
    <fb>317.54000000000002</fb>
    <v>1</v>
  </rv>
  <rv s="0">
    <fb>131.11000000000001</fb>
    <v>1</v>
  </rv>
  <rv s="0">
    <fb>300.83</fb>
    <v>1</v>
  </rv>
  <rv s="0">
    <fb>42.222000000000001</fb>
    <v>1</v>
  </rv>
  <rv s="0">
    <fb>146.44999999999999</fb>
    <v>1</v>
  </rv>
  <rv s="0">
    <fb>233.36</fb>
    <v>1</v>
  </rv>
  <rv s="0">
    <fb>246.99</fb>
    <v>1</v>
  </rv>
  <rv s="0">
    <fb>131.27000000000001</fb>
    <v>1</v>
  </rv>
  <rv s="0">
    <fb>45195</fb>
    <v>0</v>
  </rv>
  <rv s="0">
    <fb>171.96</fb>
    <v>1</v>
  </rv>
  <rv s="0">
    <fb>312.14</fb>
    <v>1</v>
  </rv>
  <rv s="0">
    <fb>128.565</fb>
    <v>1</v>
  </rv>
  <rv s="0">
    <fb>298.95999999999998</fb>
    <v>1</v>
  </rv>
  <rv s="0">
    <fb>41.911000000000001</fb>
    <v>1</v>
  </rv>
  <rv s="0">
    <fb>144.93</fb>
    <v>1</v>
  </rv>
  <rv s="0">
    <fb>229.65</fb>
    <v>1</v>
  </rv>
  <rv s="0">
    <fb>159.02000000000001</fb>
    <v>1</v>
  </rv>
  <rv s="0">
    <fb>244.12</fb>
    <v>1</v>
  </rv>
  <rv s="0">
    <fb>125.98</fb>
    <v>1</v>
  </rv>
  <rv s="0">
    <fb>45196</fb>
    <v>0</v>
  </rv>
  <rv s="0">
    <fb>170.43</fb>
    <v>1</v>
  </rv>
  <rv s="0">
    <fb>312.79000000000002</fb>
    <v>1</v>
  </rv>
  <rv s="0">
    <fb>130.54</fb>
    <v>1</v>
  </rv>
  <rv s="0">
    <fb>297.74</fb>
    <v>1</v>
  </rv>
  <rv s="0">
    <fb>42.468000000000004</fb>
    <v>1</v>
  </rv>
  <rv s="0">
    <fb>145.78</fb>
    <v>1</v>
  </rv>
  <rv s="0">
    <fb>229.5</fb>
    <v>1</v>
  </rv>
  <rv s="0">
    <fb>157.11000000000001</fb>
    <v>1</v>
  </rv>
  <rv s="0">
    <fb>240.5</fb>
    <v>1</v>
  </rv>
  <rv s="0">
    <fb>45197</fb>
    <v>0</v>
  </rv>
  <rv s="0">
    <fb>170.69</fb>
    <v>1</v>
  </rv>
  <rv s="0">
    <fb>313.64</fb>
    <v>1</v>
  </rv>
  <rv s="0">
    <fb>132.31</fb>
    <v>1</v>
  </rv>
  <rv s="0">
    <fb>303.95999999999998</fb>
    <v>1</v>
  </rv>
  <rv s="0">
    <fb>43.088999999999999</fb>
    <v>1</v>
  </rv>
  <rv s="0">
    <fb>147.59</fb>
    <v>1</v>
  </rv>
  <rv s="0">
    <fb>231.66</fb>
    <v>1</v>
  </rv>
  <rv s="0">
    <fb>156.88</fb>
    <v>1</v>
  </rv>
  <rv s="0">
    <fb>246.38</fb>
    <v>1</v>
  </rv>
  <rv s="0">
    <fb>45198</fb>
    <v>0</v>
  </rv>
  <rv s="0">
    <fb>171.21</fb>
    <v>1</v>
  </rv>
  <rv s="0">
    <fb>315.75</fb>
    <v>1</v>
  </rv>
  <rv s="0">
    <fb>130.86000000000001</fb>
    <v>1</v>
  </rv>
  <rv s="0">
    <fb>300.20999999999998</fb>
    <v>1</v>
  </rv>
  <rv s="0">
    <fb>43.499000000000002</fb>
    <v>1</v>
  </rv>
  <rv s="0">
    <fb>145.02000000000001</fb>
    <v>1</v>
  </rv>
  <rv s="0">
    <fb>230.01</fb>
    <v>1</v>
  </rv>
  <rv s="0">
    <fb>155.75</fb>
    <v>1</v>
  </rv>
  <rv s="0">
    <fb>250.22</fb>
    <v>1</v>
  </rv>
  <rv s="0">
    <fb>127.12</fb>
    <v>1</v>
  </rv>
  <rv s="0">
    <fb>45201</fb>
    <v>0</v>
  </rv>
  <rv s="0">
    <fb>321.8</fb>
    <v>1</v>
  </rv>
  <rv s="0">
    <fb>134.16999999999999</fb>
    <v>1</v>
  </rv>
  <rv s="0">
    <fb>306.82</fb>
    <v>1</v>
  </rv>
  <rv s="0">
    <fb>44.781999999999996</fb>
    <v>1</v>
  </rv>
  <rv s="0">
    <fb>143.77000000000001</fb>
    <v>1</v>
  </rv>
  <rv s="0">
    <fb>155.15</fb>
    <v>1</v>
  </rv>
  <rv s="0">
    <fb>251.6</fb>
    <v>1</v>
  </rv>
  <rv s="0">
    <fb>129.46</fb>
    <v>1</v>
  </rv>
  <rv s="0">
    <fb>45202</fb>
    <v>0</v>
  </rv>
  <rv s="0">
    <fb>172.4</fb>
    <v>1</v>
  </rv>
  <rv s="0">
    <fb>313.39</fb>
    <v>1</v>
  </rv>
  <rv s="0">
    <fb>132.43</fb>
    <v>1</v>
  </rv>
  <rv s="0">
    <fb>300.94</fb>
    <v>1</v>
  </rv>
  <rv s="0">
    <fb>43.517000000000003</fb>
    <v>1</v>
  </rv>
  <rv s="0">
    <fb>142.71</fb>
    <v>1</v>
  </rv>
  <rv s="0">
    <fb>228.81</fb>
    <v>1</v>
  </rv>
  <rv s="0">
    <fb>155.34</fb>
    <v>1</v>
  </rv>
  <rv s="0">
    <fb>246.53</fb>
    <v>1</v>
  </rv>
  <rv s="0">
    <fb>124.72</fb>
    <v>1</v>
  </rv>
  <rv s="0">
    <fb>45203</fb>
    <v>0</v>
  </rv>
  <rv s="0">
    <fb>173.66</fb>
    <v>1</v>
  </rv>
  <rv s="0">
    <fb>318.95499999999998</fb>
    <v>1</v>
  </rv>
  <rv s="0">
    <fb>136.27000000000001</fb>
    <v>1</v>
  </rv>
  <rv s="0">
    <fb>305.58</fb>
    <v>1</v>
  </rv>
  <rv s="0">
    <fb>45204</fb>
    <v>0</v>
  </rv>
  <rv s="0">
    <fb>174.91</fb>
    <v>1</v>
  </rv>
  <rv s="0">
    <fb>319.36</fb>
    <v>1</v>
  </rv>
  <rv s="0">
    <fb>135.99</fb>
    <v>1</v>
  </rv>
  <rv s="0">
    <fb>304.79000000000002</fb>
    <v>1</v>
  </rv>
  <rv s="0">
    <fb>45205</fb>
    <v>0</v>
  </rv>
  <rv s="0">
    <fb>177.49</fb>
    <v>1</v>
  </rv>
  <rv s="0">
    <fb>327.26</fb>
    <v>1</v>
  </rv>
  <rv s="0">
    <fb>315.43</fb>
    <v>1</v>
  </rv>
  <rv s="0">
    <fb>45208</fb>
    <v>0</v>
  </rv>
  <rv s="0">
    <fb>178.99</fb>
    <v>1</v>
  </rv>
  <rv s="0">
    <fb>329.82</fb>
    <v>1</v>
  </rv>
  <rv s="0">
    <fb>318.36</fb>
    <v>1</v>
  </rv>
  <rv s="0">
    <fb>45209</fb>
    <v>0</v>
  </rv>
  <rv s="0">
    <fb>178.39</fb>
    <v>1</v>
  </rv>
  <rv s="0">
    <fb>321.83999999999997</fb>
    <v>1</v>
  </rv>
  <rv s="0">
    <fb>45210</fb>
    <v>0</v>
  </rv>
  <rv s="0">
    <fb>332.42</fb>
    <v>1</v>
  </rv>
  <rv s="0">
    <fb>141.69999999999999</fb>
    <v>1</v>
  </rv>
  <rv s="0">
    <fb>327.82</fb>
    <v>1</v>
  </rv>
  <rv s="0">
    <fb>45211</fb>
    <v>0</v>
  </rv>
  <rv s="0">
    <fb>180.71</fb>
    <v>1</v>
  </rv>
  <rv s="0">
    <fb>331.16</fb>
    <v>1</v>
  </rv>
  <rv s="0">
    <fb>140.29</fb>
    <v>1</v>
  </rv>
  <rv s="0">
    <fb>324.16000000000003</fb>
    <v>1</v>
  </rv>
  <rv s="0">
    <fb>45212</fb>
    <v>0</v>
  </rv>
  <rv s="0">
    <fb>327.73</fb>
    <v>1</v>
  </rv>
  <rv s="0">
    <fb>138.58000000000001</fb>
    <v>1</v>
  </rv>
  <rv s="0">
    <fb>314.69</fb>
    <v>1</v>
  </rv>
  <rv s="0">
    <fb>45215</fb>
    <v>0</v>
  </rv>
  <rv s="0">
    <fb>178.72</fb>
    <v>1</v>
  </rv>
  <rv s="0">
    <fb>332.64</fb>
    <v>1</v>
  </rv>
  <rv s="0">
    <fb>140.49</fb>
    <v>1</v>
  </rv>
  <rv s="0">
    <fb>321.14999999999998</fb>
    <v>1</v>
  </rv>
  <rv s="0">
    <fb>45216</fb>
    <v>0</v>
  </rv>
  <rv s="0">
    <fb>177.15</fb>
    <v>1</v>
  </rv>
  <rv s="0">
    <fb>332.06</fb>
    <v>1</v>
  </rv>
  <rv s="0">
    <fb>140.99</fb>
    <v>1</v>
  </rv>
  <rv s="0">
    <fb>324</fb>
    <v>1</v>
  </rv>
  <rv s="0">
    <fb>45217</fb>
    <v>0</v>
  </rv>
  <rv s="0">
    <fb>139.28</fb>
    <v>1</v>
  </rv>
  <rv s="0">
    <fb>316.97000000000003</fb>
    <v>1</v>
  </rv>
  <rv s="0">
    <fb>45218</fb>
    <v>0</v>
  </rv>
  <rv s="0">
    <fb>175.46</fb>
    <v>1</v>
  </rv>
  <rv s="0">
    <fb>331.32</fb>
    <v>1</v>
  </rv>
  <rv s="0">
    <fb>138.97999999999999</fb>
    <v>1</v>
  </rv>
  <rv s="0">
    <fb>312.81</fb>
    <v>1</v>
  </rv>
  <rv s="0">
    <fb>45219</fb>
    <v>0</v>
  </rv>
  <rv s="0">
    <fb>326.67</fb>
    <v>1</v>
  </rv>
  <rv s="0">
    <fb>45222</fb>
    <v>0</v>
  </rv>
  <rv s="0">
    <fb>173</fb>
    <v>1</v>
  </rv>
  <rv s="0">
    <fb>329.32</fb>
    <v>1</v>
  </rv>
  <rv s="0">
    <fb>137.9</fb>
    <v>1</v>
  </rv>
  <rv s="0">
    <fb>314.01</fb>
    <v>1</v>
  </rv>
  <rv s="0">
    <fb>45223</fb>
    <v>0</v>
  </rv>
  <rv s="0">
    <fb>330.53</fb>
    <v>1</v>
  </rv>
  <rv s="0">
    <fb>140.12</fb>
    <v>1</v>
  </rv>
  <rv s="0">
    <fb>312.55</fb>
    <v>1</v>
  </rv>
  <rv s="0">
    <fb>45224</fb>
    <v>0</v>
  </rv>
  <rv s="0">
    <fb>171.1</fb>
    <v>1</v>
  </rv>
  <rv s="0">
    <fb>340.67</fb>
    <v>1</v>
  </rv>
  <rv s="0">
    <fb>126.67</fb>
    <v>1</v>
  </rv>
  <rv s="0">
    <fb>299.52999999999997</fb>
    <v>1</v>
  </rv>
  <rv s="0">
    <fb>45225</fb>
    <v>0</v>
  </rv>
  <rv s="0">
    <fb>166.89</fb>
    <v>1</v>
  </rv>
  <rv s="0">
    <fb>327.89</fb>
    <v>1</v>
  </rv>
  <rv s="0">
    <fb>123.44</fb>
    <v>1</v>
  </rv>
  <rv s="0">
    <fb>288.35000000000002</fb>
    <v>1</v>
  </rv>
  <rv s="0">
    <fb>45226</fb>
    <v>0</v>
  </rv>
  <rv s="0">
    <fb>168.22</fb>
    <v>1</v>
  </rv>
  <rv s="0">
    <fb>329.81</fb>
    <v>1</v>
  </rv>
  <rv s="0">
    <fb>123.4</fb>
    <v>1</v>
  </rv>
  <rv s="0">
    <fb>296.73</fb>
    <v>1</v>
  </rv>
  <rv s="0">
    <fb>45229</fb>
    <v>0</v>
  </rv>
  <rv s="0">
    <fb>170.29</fb>
    <v>1</v>
  </rv>
  <rv s="0">
    <fb>337.31</fb>
    <v>1</v>
  </rv>
  <rv s="0">
    <fb>125.75</fb>
    <v>1</v>
  </rv>
  <rv s="0">
    <fb>302.66000000000003</fb>
    <v>1</v>
  </rv>
  <rv s="0">
    <fb>45230</fb>
    <v>0</v>
  </rv>
  <rv s="0">
    <fb>170.77</fb>
    <v>1</v>
  </rv>
  <rv s="0">
    <fb>338.11</fb>
    <v>1</v>
  </rv>
  <rv s="0">
    <fb>301.27</fb>
    <v>1</v>
  </rv>
  <rv s="0">
    <fb>45231</fb>
    <v>0</v>
  </rv>
  <rv s="0">
    <fb>173.97</fb>
    <v>1</v>
  </rv>
  <rv s="0">
    <fb>346.07</fb>
    <v>1</v>
  </rv>
  <rv s="0">
    <fb>127.57</fb>
    <v>1</v>
  </rv>
  <rv s="0">
    <fb>311.85000000000002</fb>
    <v>1</v>
  </rv>
  <rv s="0">
    <fb>45232</fb>
    <v>0</v>
  </rv>
  <rv s="0">
    <fb>177.57</fb>
    <v>1</v>
  </rv>
  <rv s="0">
    <fb>348.32</fb>
    <v>1</v>
  </rv>
  <rv s="0">
    <fb>128.58000000000001</fb>
    <v>1</v>
  </rv>
  <rv s="0">
    <fb>310.87</fb>
    <v>1</v>
  </rv>
  <rv s="0">
    <fb>45233</fb>
    <v>0</v>
  </rv>
  <rv s="0">
    <fb>176.65</fb>
    <v>1</v>
  </rv>
  <rv s="0">
    <fb>352.8</fb>
    <v>1</v>
  </rv>
  <rv s="0">
    <fb>130.37</fb>
    <v>1</v>
  </rv>
  <rv s="0">
    <fb>314.60000000000002</fb>
    <v>1</v>
  </rv>
  <rv s="0">
    <fb>45236</fb>
    <v>0</v>
  </rv>
  <rv s="0">
    <fb>179.23</fb>
    <v>1</v>
  </rv>
  <rv s="0">
    <fb>356.53</fb>
    <v>1</v>
  </rv>
  <rv s="0">
    <fb>131.44999999999999</fb>
    <v>1</v>
  </rv>
  <rv s="0">
    <fb>315.8</fb>
    <v>1</v>
  </rv>
  <rv s="0">
    <fb>45237</fb>
    <v>0</v>
  </rv>
  <rv s="0">
    <fb>181.82</fb>
    <v>1</v>
  </rv>
  <rv s="0">
    <fb>360.53</fb>
    <v>1</v>
  </rv>
  <rv s="0">
    <fb>132.4</fb>
    <v>1</v>
  </rv>
  <rv s="0">
    <fb>318.82</fb>
    <v>1</v>
  </rv>
  <rv s="0">
    <fb>45238</fb>
    <v>0</v>
  </rv>
  <rv s="0">
    <fb>182.89</fb>
    <v>1</v>
  </rv>
  <rv s="0">
    <fb>363.2</fb>
    <v>1</v>
  </rv>
  <rv s="0">
    <fb>319.77999999999997</fb>
    <v>1</v>
  </rv>
  <rv s="0">
    <fb>45239</fb>
    <v>0</v>
  </rv>
  <rv s="0">
    <fb>182.41</fb>
    <v>1</v>
  </rv>
  <rv s="0">
    <fb>360.69</fb>
    <v>1</v>
  </rv>
  <rv s="0">
    <fb>320.55</fb>
    <v>1</v>
  </rv>
  <rv s="0">
    <fb>45240</fb>
    <v>0</v>
  </rv>
  <rv s="0">
    <fb>186.4</fb>
    <v>1</v>
  </rv>
  <rv s="0">
    <fb>369.67</fb>
    <v>1</v>
  </rv>
  <rv s="0">
    <fb>134.06</fb>
    <v>1</v>
  </rv>
  <rv s="0">
    <fb>328.77</fb>
    <v>1</v>
  </rv>
  <rv s="0">
    <fb>45243</fb>
    <v>0</v>
  </rv>
  <rv s="0">
    <fb>184.8</fb>
    <v>1</v>
  </rv>
  <rv s="0">
    <fb>366.68</fb>
    <v>1</v>
  </rv>
  <rv s="0">
    <fb>133.63999999999999</fb>
    <v>1</v>
  </rv>
  <rv s="0">
    <fb>329.19</fb>
    <v>1</v>
  </rv>
  <rv s="0">
    <fb>45244</fb>
    <v>0</v>
  </rv>
  <rv s="0">
    <fb>187.44</fb>
    <v>1</v>
  </rv>
  <rv s="0">
    <fb>370.27</fb>
    <v>1</v>
  </rv>
  <rv s="0">
    <fb>135.43</fb>
    <v>1</v>
  </rv>
  <rv s="0">
    <fb>336.31</fb>
    <v>1</v>
  </rv>
  <rv s="0">
    <fb>45245</fb>
    <v>0</v>
  </rv>
  <rv s="0">
    <fb>188.01</fb>
    <v>1</v>
  </rv>
  <rv s="0">
    <fb>332.71</fb>
    <v>1</v>
  </rv>
  <rv s="0">
    <fb>45246</fb>
    <v>0</v>
  </rv>
  <rv s="0">
    <fb>189.71</fb>
    <v>1</v>
  </rv>
  <rv s="0">
    <fb>376.17</fb>
    <v>1</v>
  </rv>
  <rv s="0">
    <fb>138.69999999999999</fb>
    <v>1</v>
  </rv>
  <rv s="0">
    <fb>334.19</fb>
    <v>1</v>
  </rv>
  <rv s="0">
    <fb>45247</fb>
    <v>0</v>
  </rv>
  <rv s="0">
    <fb>189.69</fb>
    <v>1</v>
  </rv>
  <rv s="0">
    <fb>369.85</fb>
    <v>1</v>
  </rv>
  <rv s="0">
    <fb>335.04</fb>
    <v>1</v>
  </rv>
  <rv s="0">
    <fb>45250</fb>
    <v>0</v>
  </rv>
  <rv s="0">
    <fb>191.45</fb>
    <v>1</v>
  </rv>
  <rv s="0">
    <fb>377.44</fb>
    <v>1</v>
  </rv>
  <rv s="0">
    <fb>137.91999999999999</fb>
    <v>1</v>
  </rv>
  <rv s="0">
    <fb>339.97</fb>
    <v>1</v>
  </rv>
  <rv s="0">
    <fb>45251</fb>
    <v>0</v>
  </rv>
  <rv s="0">
    <fb>190.64</fb>
    <v>1</v>
  </rv>
  <rv s="0">
    <fb>373.07</fb>
    <v>1</v>
  </rv>
  <rv s="0">
    <fb>336.98</fb>
    <v>1</v>
  </rv>
  <rv s="0">
    <fb>45252</fb>
    <v>0</v>
  </rv>
  <rv s="0">
    <fb>191.31</fb>
    <v>1</v>
  </rv>
  <rv s="0">
    <fb>377.85</fb>
    <v>1</v>
  </rv>
  <rv s="0">
    <fb>140.02000000000001</fb>
    <v>1</v>
  </rv>
  <rv s="0">
    <fb>341.49</fb>
    <v>1</v>
  </rv>
  <rv s="0">
    <fb>45254</fb>
    <v>0</v>
  </rv>
  <rv s="0">
    <fb>189.97</fb>
    <v>1</v>
  </rv>
  <rv s="0">
    <fb>377.43</fb>
    <v>1</v>
  </rv>
  <rv s="0">
    <fb>138.22</fb>
    <v>1</v>
  </rv>
  <rv s="0">
    <fb>338.23</fb>
    <v>1</v>
  </rv>
  <rv s="0">
    <fb>45257</fb>
    <v>0</v>
  </rv>
  <rv s="0">
    <fb>189.79</fb>
    <v>1</v>
  </rv>
  <rv s="0">
    <fb>378.61</fb>
    <v>1</v>
  </rv>
  <rv s="0">
    <fb>138.05000000000001</fb>
    <v>1</v>
  </rv>
  <rv s="0">
    <fb>334.7</fb>
    <v>1</v>
  </rv>
  <rv s="0">
    <fb>45258</fb>
    <v>0</v>
  </rv>
  <rv s="0">
    <fb>190.4</fb>
    <v>1</v>
  </rv>
  <rv s="0">
    <fb>382.7</fb>
    <v>1</v>
  </rv>
  <rv s="0">
    <fb>338.99</fb>
    <v>1</v>
  </rv>
  <rv s="0">
    <fb>45259</fb>
    <v>0</v>
  </rv>
  <rv s="0">
    <fb>189.37</fb>
    <v>1</v>
  </rv>
  <rv s="0">
    <fb>378.85</fb>
    <v>1</v>
  </rv>
  <rv s="0">
    <fb>136.4</fb>
    <v>1</v>
  </rv>
  <rv s="0">
    <fb>332.2</fb>
    <v>1</v>
  </rv>
  <rv s="0">
    <fb>45260</fb>
    <v>0</v>
  </rv>
  <rv s="0">
    <fb>189.95</fb>
    <v>1</v>
  </rv>
  <rv s="0">
    <fb>378.91</fb>
    <v>1</v>
  </rv>
  <rv s="0">
    <fb>133.91999999999999</fb>
    <v>1</v>
  </rv>
  <rv s="0">
    <fb>327.14999999999998</fb>
    <v>1</v>
  </rv>
  <rv s="0">
    <fb>45261</fb>
    <v>0</v>
  </rv>
  <rv s="0">
    <fb>191.24</fb>
    <v>1</v>
  </rv>
  <rv s="0">
    <fb>374.51</fb>
    <v>1</v>
  </rv>
  <rv s="0">
    <fb>133.32</fb>
    <v>1</v>
  </rv>
  <rv s="0">
    <fb>324.82</fb>
    <v>1</v>
  </rv>
  <rv s="0">
    <fb>45264</fb>
    <v>0</v>
  </rv>
  <rv s="0">
    <fb>189.43</fb>
    <v>1</v>
  </rv>
  <rv s="0">
    <fb>369.14</fb>
    <v>1</v>
  </rv>
  <rv s="0">
    <fb>130.63</fb>
    <v>1</v>
  </rv>
  <rv s="0">
    <fb>320.02</fb>
    <v>1</v>
  </rv>
  <rv s="0">
    <fb>45265</fb>
    <v>0</v>
  </rv>
  <rv s="0">
    <fb>193.42</fb>
    <v>1</v>
  </rv>
  <rv s="0">
    <fb>372.52</fb>
    <v>1</v>
  </rv>
  <rv s="0">
    <fb>132.38999999999999</fb>
    <v>1</v>
  </rv>
  <rv s="0">
    <fb>318.29000000000002</fb>
    <v>1</v>
  </rv>
  <rv s="0">
    <fb>45266</fb>
    <v>0</v>
  </rv>
  <rv s="0">
    <fb>192.32</fb>
    <v>1</v>
  </rv>
  <rv s="0">
    <fb>368.8</fb>
    <v>1</v>
  </rv>
  <rv s="0">
    <fb>131.43</fb>
    <v>1</v>
  </rv>
  <rv s="0">
    <fb>317.45</fb>
    <v>1</v>
  </rv>
  <rv s="0">
    <fb>45267</fb>
    <v>0</v>
  </rv>
  <rv s="0">
    <fb>194.27</fb>
    <v>1</v>
  </rv>
  <rv s="0">
    <fb>370.95</fb>
    <v>1</v>
  </rv>
  <rv s="0">
    <fb>326.58999999999997</fb>
    <v>1</v>
  </rv>
  <rv s="0">
    <fb>45268</fb>
    <v>0</v>
  </rv>
  <rv s="0">
    <fb>195.71</fb>
    <v>1</v>
  </rv>
  <rv s="0">
    <fb>374.23</fb>
    <v>1</v>
  </rv>
  <rv s="0">
    <fb>136.63999999999999</fb>
    <v>1</v>
  </rv>
  <rv s="0">
    <fb>332.75</fb>
    <v>1</v>
  </rv>
  <rv s="0">
    <fb>45271</fb>
    <v>0</v>
  </rv>
  <rv s="0">
    <fb>193.18</fb>
    <v>1</v>
  </rv>
  <rv s="0">
    <fb>371.3</fb>
    <v>1</v>
  </rv>
  <rv s="0">
    <fb>134.69999999999999</fb>
    <v>1</v>
  </rv>
  <rv s="0">
    <fb>325.27999999999997</fb>
    <v>1</v>
  </rv>
  <rv s="0">
    <fb>45272</fb>
    <v>0</v>
  </rv>
  <rv s="0">
    <fb>194.71</fb>
    <v>1</v>
  </rv>
  <rv s="0">
    <fb>374.38</fb>
    <v>1</v>
  </rv>
  <rv s="0">
    <fb>334.22</fb>
    <v>1</v>
  </rv>
  <rv s="0">
    <fb>45273</fb>
    <v>0</v>
  </rv>
  <rv s="0">
    <fb>197.96</fb>
    <v>1</v>
  </rv>
  <rv s="0">
    <fb>374.37</fb>
    <v>1</v>
  </rv>
  <rv s="0">
    <fb>133.97</fb>
    <v>1</v>
  </rv>
  <rv s="0">
    <fb>334.74</fb>
    <v>1</v>
  </rv>
  <rv s="0">
    <fb>45274</fb>
    <v>0</v>
  </rv>
  <rv s="0">
    <fb>198.11</fb>
    <v>1</v>
  </rv>
  <rv s="0">
    <fb>365.93</fb>
    <v>1</v>
  </rv>
  <rv s="0">
    <fb>133.19999999999999</fb>
    <v>1</v>
  </rv>
  <rv s="0">
    <fb>333.17</fb>
    <v>1</v>
  </rv>
  <rv s="0">
    <fb>45275</fb>
    <v>0</v>
  </rv>
  <rv s="0">
    <fb>197.57</fb>
    <v>1</v>
  </rv>
  <rv s="0">
    <fb>370.73</fb>
    <v>1</v>
  </rv>
  <rv s="0">
    <fb>133.84</fb>
    <v>1</v>
  </rv>
  <rv s="0">
    <fb>334.92</fb>
    <v>1</v>
  </rv>
  <rv s="0">
    <fb>45278</fb>
    <v>0</v>
  </rv>
  <rv s="0">
    <fb>195.89</fb>
    <v>1</v>
  </rv>
  <rv s="0">
    <fb>372.65</fb>
    <v>1</v>
  </rv>
  <rv s="0">
    <fb>137.19</fb>
    <v>1</v>
  </rv>
  <rv s="0">
    <fb>344.62</fb>
    <v>1</v>
  </rv>
  <rv s="0">
    <fb>45279</fb>
    <v>0</v>
  </rv>
  <rv s="0">
    <fb>196.94</fb>
    <v>1</v>
  </rv>
  <rv s="0">
    <fb>373.26</fb>
    <v>1</v>
  </rv>
  <rv s="0">
    <fb>350.36</fb>
    <v>1</v>
  </rv>
  <rv s="1">
    <v>2</v>
    <v>AAPL</v>
    <v>Daily</v>
    <v>44927</v>
    <v>45202</v>
    <v>0</v>
    <v>1</v>
    <v>638318880000000000,639158152373640349,0</v>
    <v>0</v>
    <v>a1mou2</v>
    <v>XNAS:AAPL</v>
    <v>1</v>
  </rv>
  <rv s="1">
    <v>2</v>
    <v>AAPL</v>
    <v>Daily</v>
    <v>44927</v>
    <v>45279</v>
    <v>0</v>
    <v>1</v>
    <v>638385408000000000,639158465735851215,0</v>
    <v>2</v>
    <v>a1mou2</v>
    <v>XNAS:AAPL</v>
    <v>3</v>
  </rv>
  <rv s="1">
    <v>2</v>
    <v>V</v>
    <v>Daily</v>
    <v>44927</v>
    <v>45202</v>
    <v>0</v>
    <v>1</v>
    <v>638318880000000000,639158145181133193,0</v>
    <v>0</v>
    <v>a256cw</v>
    <v>XNYS:V</v>
    <v>4</v>
  </rv>
  <rv s="1">
    <v>2</v>
    <v>AMZN</v>
    <v>Daily</v>
    <v>44927</v>
    <v>45202</v>
    <v>0</v>
    <v>1</v>
    <v>638318880000000000,639158145737899754,0</v>
    <v>0</v>
    <v>a1nhlh</v>
    <v>XNAS:AMZN</v>
    <v>5</v>
  </rv>
  <rv s="1">
    <v>2</v>
    <v>MSFT</v>
    <v>Daily</v>
    <v>44927</v>
    <v>45202</v>
    <v>0</v>
    <v>1</v>
    <v>638318880000000000,639158132622352984,0</v>
    <v>0</v>
    <v>a1xzim</v>
    <v>XNAS:MSFT</v>
    <v>6</v>
  </rv>
  <rv s="1">
    <v>2</v>
    <v>MSFT</v>
    <v>Daily</v>
    <v>44927</v>
    <v>45279</v>
    <v>0</v>
    <v>1</v>
    <v>638385408000000000,639158465734364915,0</v>
    <v>2</v>
    <v>a1xzim</v>
    <v>XNAS:MSFT</v>
    <v>7</v>
  </rv>
  <rv s="1">
    <v>2</v>
    <v>GOOGLE</v>
    <v>Daily</v>
    <v>44927</v>
    <v>45202</v>
    <v>0</v>
    <v>1</v>
    <v>638318880000000000,639158142172923583,0</v>
    <v>0</v>
    <v>a1u3rw</v>
    <v>XNAS:GOOGL</v>
    <v>8</v>
  </rv>
  <rv s="1">
    <v>2</v>
    <v>GOOGLE</v>
    <v>Daily</v>
    <v>44927</v>
    <v>45279</v>
    <v>0</v>
    <v>1</v>
    <v>638385408000000000,639158465731363392,0</v>
    <v>2</v>
    <v>a1u3p2</v>
    <v>XNAS:GOOG</v>
    <v>9</v>
  </rv>
  <rv s="1">
    <v>2</v>
    <v>META</v>
    <v>Daily</v>
    <v>44927</v>
    <v>45202</v>
    <v>0</v>
    <v>1</v>
    <v>638318880000000000,639158143235464594,0</v>
    <v>0</v>
    <v>a1slm7</v>
    <v>XNAS:META</v>
    <v>10</v>
  </rv>
  <rv s="1">
    <v>2</v>
    <v>META</v>
    <v>Daily</v>
    <v>44927</v>
    <v>45279</v>
    <v>0</v>
    <v>1</v>
    <v>638385408000000000,639158465732838543,0</v>
    <v>2</v>
    <v>a1slm7</v>
    <v>XNAS:META</v>
    <v>11</v>
  </rv>
  <rv s="1">
    <v>2</v>
    <v>NVDA</v>
    <v>Daily</v>
    <v>44927</v>
    <v>45202</v>
    <v>0</v>
    <v>1</v>
    <v>638318880000000000,639158143526521922,0</v>
    <v>0</v>
    <v>a1yv52</v>
    <v>XNAS:NVDA</v>
    <v>12</v>
  </rv>
  <rv s="1">
    <v>2</v>
    <v>JPM</v>
    <v>Daily</v>
    <v>44927</v>
    <v>45202</v>
    <v>0</v>
    <v>1</v>
    <v>638318880000000000,639158143686547810,0</v>
    <v>0</v>
    <v>a1waa2</v>
    <v>XNYS:JPM</v>
    <v>13</v>
  </rv>
  <rv s="1">
    <v>2</v>
    <v>JNJ</v>
    <v>Daily</v>
    <v>44927</v>
    <v>45202</v>
    <v>0</v>
    <v>1</v>
    <v>638318880000000000,639158145310627449,0</v>
    <v>0</v>
    <v>a1w8ec</v>
    <v>XNYS:JNJ</v>
    <v>14</v>
  </rv>
  <rv s="1">
    <v>2</v>
    <v>TSLA</v>
    <v>Daily</v>
    <v>44927</v>
    <v>45202</v>
    <v>0</v>
    <v>1</v>
    <v>638318880000000000,639158145474923460,0</v>
    <v>0</v>
    <v>a24kar</v>
    <v>XNAS:TSLA</v>
    <v>15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workbookViewId="0">
      <selection activeCell="A2" sqref="A2:B3"/>
    </sheetView>
  </sheetViews>
  <sheetFormatPr baseColWidth="10" defaultRowHeight="15" x14ac:dyDescent="0.25"/>
  <cols>
    <col min="2" max="2" width="11.28515625" customWidth="1"/>
    <col min="3" max="9" width="10.7109375" customWidth="1"/>
    <col min="10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cm="1" vm="1">
        <f t="array" aca="1" ref="A2:B190" ca="1">_xlfn.STOCKHISTORY("AAPL",DATE(2023,1,1),DATE(2023,10,3),0,0,0,1)</f>
        <v>44929</v>
      </c>
      <c r="B2" s="1" vm="2">
        <f ca="1"/>
        <v>125.07</v>
      </c>
      <c r="C2" cm="1" vm="3">
        <f t="array" aca="1" ref="C2:C190" ca="1">_xlfn.STOCKHISTORY("MSFT",DATE(2023,1,1),DATE(2023,10,3),0,0,1)</f>
        <v>239.58</v>
      </c>
      <c r="D2" cm="1" vm="4">
        <f t="array" aca="1" ref="D2:D190" ca="1">_xlfn.STOCKHISTORY("GOOGLE",DATE(2023,1,1),DATE(2023,10,3),0,0,1)</f>
        <v>89.12</v>
      </c>
      <c r="E2" cm="1" vm="5">
        <f t="array" aca="1" ref="E2:E190" ca="1">_xlfn.STOCKHISTORY("META",DATE(2023,1,1),DATE(2023,10,3),0,0,1)</f>
        <v>124.74</v>
      </c>
      <c r="F2" cm="1" vm="6">
        <f t="array" aca="1" ref="F2:F190" ca="1">_xlfn.STOCKHISTORY("NVDA",DATE(2023,1,1),DATE(2023,10,3),0,0,1)</f>
        <v>14.315</v>
      </c>
      <c r="G2" cm="1" vm="7">
        <f t="array" aca="1" ref="G2:G190" ca="1">_xlfn.STOCKHISTORY("JPM",DATE(2023,1,1),DATE(2023,10,3),0,0,1)</f>
        <v>135.12</v>
      </c>
      <c r="H2" cm="1" vm="8">
        <f t="array" aca="1" ref="H2:H190" ca="1">_xlfn.STOCKHISTORY("V",DATE(2023,1,1),DATE(2023,10,3),0,0,1)</f>
        <v>207.39</v>
      </c>
      <c r="I2" cm="1" vm="9">
        <f t="array" aca="1" ref="I2:I190" ca="1">_xlfn.STOCKHISTORY("JNJ",DATE(2023,1,1),DATE(2023,10,3),0,0,1)</f>
        <v>178.19</v>
      </c>
      <c r="J2" cm="1" vm="10">
        <f t="array" aca="1" ref="J2:J190" ca="1">_xlfn.STOCKHISTORY("TSLA",DATE(2023,1,1),DATE(2023,10,3),0,0,1)</f>
        <v>108.1</v>
      </c>
      <c r="K2" cm="1" vm="11">
        <f t="array" aca="1" ref="K2:K190" ca="1">_xlfn.STOCKHISTORY("AMZN",DATE(2023,1,1),DATE(2023,10,3),0,0,1)</f>
        <v>85.82</v>
      </c>
    </row>
    <row r="3" spans="1:11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 vm="17">
        <f ca="1"/>
        <v>14.749000000000001</v>
      </c>
      <c r="G3" vm="18">
        <f ca="1"/>
        <v>136.38</v>
      </c>
      <c r="H3" vm="19">
        <f ca="1"/>
        <v>212.61</v>
      </c>
      <c r="I3" vm="20">
        <f ca="1"/>
        <v>180.13</v>
      </c>
      <c r="J3" vm="21">
        <f ca="1"/>
        <v>113.64</v>
      </c>
      <c r="K3" vm="22">
        <f ca="1"/>
        <v>85.14</v>
      </c>
    </row>
    <row r="4" spans="1:11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 vm="28">
        <f ca="1"/>
        <v>14.265000000000001</v>
      </c>
      <c r="G4" vm="29">
        <f ca="1"/>
        <v>135.35</v>
      </c>
      <c r="H4" vm="30">
        <f ca="1"/>
        <v>211.11</v>
      </c>
      <c r="I4" vm="31">
        <f ca="1"/>
        <v>178.8</v>
      </c>
      <c r="J4" vm="32">
        <f ca="1"/>
        <v>110.34</v>
      </c>
      <c r="K4" vm="33">
        <f ca="1"/>
        <v>83.12</v>
      </c>
    </row>
    <row r="5" spans="1:11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 vm="39">
        <f ca="1"/>
        <v>14.859</v>
      </c>
      <c r="G5" vm="40">
        <f ca="1"/>
        <v>137.94</v>
      </c>
      <c r="H5" vm="41">
        <f ca="1"/>
        <v>217.75</v>
      </c>
      <c r="I5" vm="42">
        <f ca="1"/>
        <v>180.25</v>
      </c>
      <c r="J5" vm="43">
        <f ca="1"/>
        <v>113.06</v>
      </c>
      <c r="K5" vm="44">
        <f ca="1"/>
        <v>86.08</v>
      </c>
    </row>
    <row r="6" spans="1:11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 vm="50">
        <f ca="1"/>
        <v>15.628</v>
      </c>
      <c r="G6" vm="51">
        <f ca="1"/>
        <v>137.37</v>
      </c>
      <c r="H6" vm="52">
        <f ca="1"/>
        <v>218.6</v>
      </c>
      <c r="I6" vm="53">
        <f ca="1"/>
        <v>175.58</v>
      </c>
      <c r="J6" vm="54">
        <f ca="1"/>
        <v>119.77</v>
      </c>
      <c r="K6" vm="55">
        <f ca="1"/>
        <v>87.36</v>
      </c>
    </row>
    <row r="7" spans="1:11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 vm="61">
        <f ca="1"/>
        <v>15.909000000000001</v>
      </c>
      <c r="G7" vm="62">
        <f ca="1"/>
        <v>138.6</v>
      </c>
      <c r="H7" vm="63">
        <f ca="1"/>
        <v>221.09</v>
      </c>
      <c r="I7" vm="64">
        <f ca="1"/>
        <v>175.16</v>
      </c>
      <c r="J7" vm="65">
        <f ca="1"/>
        <v>118.85</v>
      </c>
      <c r="K7" vm="66">
        <f ca="1"/>
        <v>89.87</v>
      </c>
    </row>
    <row r="8" spans="1:11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 vm="72">
        <f ca="1"/>
        <v>16.001000000000001</v>
      </c>
      <c r="G8" vm="73">
        <f ca="1"/>
        <v>139.63</v>
      </c>
      <c r="H8" vm="74">
        <f ca="1"/>
        <v>222.1</v>
      </c>
      <c r="I8" vm="75">
        <f ca="1"/>
        <v>174.88</v>
      </c>
      <c r="J8" vm="76">
        <f ca="1"/>
        <v>123.22</v>
      </c>
      <c r="K8" vm="77">
        <f ca="1"/>
        <v>95.09</v>
      </c>
    </row>
    <row r="9" spans="1:11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 vm="83">
        <f ca="1"/>
        <v>16.510999999999999</v>
      </c>
      <c r="G9" vm="84">
        <f ca="1"/>
        <v>139.49</v>
      </c>
      <c r="H9" vm="85">
        <f ca="1"/>
        <v>223.62</v>
      </c>
      <c r="I9" vm="86">
        <f ca="1"/>
        <v>174</v>
      </c>
      <c r="J9" vm="87">
        <f ca="1"/>
        <v>123.56</v>
      </c>
      <c r="K9" vm="88">
        <f ca="1"/>
        <v>95.27</v>
      </c>
    </row>
    <row r="10" spans="1:11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 vm="94">
        <f ca="1"/>
        <v>16.899000000000001</v>
      </c>
      <c r="G10" vm="95">
        <f ca="1"/>
        <v>143.01</v>
      </c>
      <c r="H10" vm="96">
        <f ca="1"/>
        <v>223.06</v>
      </c>
      <c r="I10" vm="97">
        <f ca="1"/>
        <v>173.43</v>
      </c>
      <c r="J10" vm="98">
        <f ca="1"/>
        <v>122.4</v>
      </c>
      <c r="K10" vm="99">
        <f ca="1"/>
        <v>98.12</v>
      </c>
    </row>
    <row r="11" spans="1:11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 vm="105">
        <f ca="1"/>
        <v>17.702000000000002</v>
      </c>
      <c r="G11" vm="106">
        <f ca="1"/>
        <v>140.80000000000001</v>
      </c>
      <c r="H11" vm="107">
        <f ca="1"/>
        <v>223</v>
      </c>
      <c r="I11" vm="108">
        <f ca="1"/>
        <v>172.36</v>
      </c>
      <c r="J11" vm="109">
        <f ca="1"/>
        <v>131.49</v>
      </c>
      <c r="K11" vm="110">
        <f ca="1"/>
        <v>96.05</v>
      </c>
    </row>
    <row r="12" spans="1:11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 vm="116">
        <f ca="1"/>
        <v>17.376999999999999</v>
      </c>
      <c r="G12" vm="117">
        <f ca="1"/>
        <v>136.57</v>
      </c>
      <c r="H12" vm="118">
        <f ca="1"/>
        <v>219.46</v>
      </c>
      <c r="I12" vm="119">
        <f ca="1"/>
        <v>169.76</v>
      </c>
      <c r="J12" vm="120">
        <f ca="1"/>
        <v>128.78</v>
      </c>
      <c r="K12" vm="121">
        <f ca="1"/>
        <v>95.46</v>
      </c>
    </row>
    <row r="13" spans="1:11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 vm="127">
        <f ca="1"/>
        <v>16.765000000000001</v>
      </c>
      <c r="G13" vm="128">
        <f ca="1"/>
        <v>134.75</v>
      </c>
      <c r="H13" vm="129">
        <f ca="1"/>
        <v>220.41</v>
      </c>
      <c r="I13" vm="130">
        <f ca="1"/>
        <v>169.53</v>
      </c>
      <c r="J13" vm="131">
        <f ca="1"/>
        <v>127.17</v>
      </c>
      <c r="K13" vm="132">
        <f ca="1"/>
        <v>93.68</v>
      </c>
    </row>
    <row r="14" spans="1:11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 vm="138">
        <f ca="1"/>
        <v>17.838999999999999</v>
      </c>
      <c r="G14" vm="139">
        <f ca="1"/>
        <v>135.08000000000001</v>
      </c>
      <c r="H14" vm="140">
        <f ca="1"/>
        <v>224.31</v>
      </c>
      <c r="I14" vm="141">
        <f ca="1"/>
        <v>168.74</v>
      </c>
      <c r="J14" vm="142">
        <f ca="1"/>
        <v>133.41999999999999</v>
      </c>
      <c r="K14" vm="143">
        <f ca="1"/>
        <v>97.25</v>
      </c>
    </row>
    <row r="15" spans="1:11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 vm="149">
        <f ca="1"/>
        <v>19.193000000000001</v>
      </c>
      <c r="G15" vm="150">
        <f ca="1"/>
        <v>137.27000000000001</v>
      </c>
      <c r="H15" vm="151">
        <f ca="1"/>
        <v>224.18</v>
      </c>
      <c r="I15" vm="152">
        <f ca="1"/>
        <v>168.31</v>
      </c>
      <c r="J15" vm="153">
        <f ca="1"/>
        <v>143.75</v>
      </c>
      <c r="K15" vm="154">
        <f ca="1"/>
        <v>97.52</v>
      </c>
    </row>
    <row r="16" spans="1:11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 vm="160">
        <f ca="1"/>
        <v>19.265000000000001</v>
      </c>
      <c r="G16" vm="161">
        <f ca="1"/>
        <v>138.44999999999999</v>
      </c>
      <c r="H16" vm="162">
        <f ca="1"/>
        <v>223.89</v>
      </c>
      <c r="I16" vm="152">
        <f ca="1"/>
        <v>168.31</v>
      </c>
      <c r="J16" vm="163">
        <f ca="1"/>
        <v>143.88999999999999</v>
      </c>
      <c r="K16" vm="164">
        <f ca="1"/>
        <v>96.32</v>
      </c>
    </row>
    <row r="17" spans="1:11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 vm="170">
        <f ca="1"/>
        <v>19.323</v>
      </c>
      <c r="G17" vm="171">
        <f ca="1"/>
        <v>139.12</v>
      </c>
      <c r="H17" vm="172">
        <f ca="1"/>
        <v>224.9</v>
      </c>
      <c r="I17" vm="173">
        <f ca="1"/>
        <v>169.51</v>
      </c>
      <c r="J17" vm="174">
        <f ca="1"/>
        <v>144.43</v>
      </c>
      <c r="K17" vm="175">
        <f ca="1"/>
        <v>97.18</v>
      </c>
    </row>
    <row r="18" spans="1:11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 vm="180">
        <f ca="1"/>
        <v>19.802</v>
      </c>
      <c r="G18" vm="181">
        <f ca="1"/>
        <v>139.97999999999999</v>
      </c>
      <c r="H18" vm="182">
        <f ca="1"/>
        <v>224.71</v>
      </c>
      <c r="I18" vm="183">
        <f ca="1"/>
        <v>168.89</v>
      </c>
      <c r="J18" vm="184">
        <f ca="1"/>
        <v>160.27000000000001</v>
      </c>
      <c r="K18" vm="185">
        <f ca="1"/>
        <v>99.22</v>
      </c>
    </row>
    <row r="19" spans="1:11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 vm="191">
        <f ca="1"/>
        <v>20.364999999999998</v>
      </c>
      <c r="G19" vm="192">
        <f ca="1"/>
        <v>140.32</v>
      </c>
      <c r="H19" vm="193">
        <f ca="1"/>
        <v>231.44</v>
      </c>
      <c r="I19" vm="194">
        <f ca="1"/>
        <v>168.23</v>
      </c>
      <c r="J19" vm="195">
        <f ca="1"/>
        <v>177.9</v>
      </c>
      <c r="K19" vm="196">
        <f ca="1"/>
        <v>102.24</v>
      </c>
    </row>
    <row r="20" spans="1:11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 vm="202">
        <f ca="1"/>
        <v>19.161999999999999</v>
      </c>
      <c r="G20" vm="203">
        <f ca="1"/>
        <v>139.13</v>
      </c>
      <c r="H20" vm="14">
        <f ca="1"/>
        <v>229.1</v>
      </c>
      <c r="I20" vm="204">
        <f ca="1"/>
        <v>162</v>
      </c>
      <c r="J20" vm="205">
        <f ca="1"/>
        <v>166.66</v>
      </c>
      <c r="K20" vm="206">
        <f ca="1"/>
        <v>100.55</v>
      </c>
    </row>
    <row r="21" spans="1:11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 vm="212">
        <f ca="1"/>
        <v>19.536999999999999</v>
      </c>
      <c r="G21" vm="213">
        <f ca="1"/>
        <v>139.96</v>
      </c>
      <c r="H21" vm="214">
        <f ca="1"/>
        <v>230.21</v>
      </c>
      <c r="I21" vm="215">
        <f ca="1"/>
        <v>163.41999999999999</v>
      </c>
      <c r="J21" vm="216">
        <f ca="1"/>
        <v>173.22</v>
      </c>
      <c r="K21" vm="217">
        <f ca="1"/>
        <v>103.13</v>
      </c>
    </row>
    <row r="22" spans="1:11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 vm="223">
        <f ca="1"/>
        <v>20.943000000000001</v>
      </c>
      <c r="G22" vm="224">
        <f ca="1"/>
        <v>139.59</v>
      </c>
      <c r="H22" vm="225">
        <f ca="1"/>
        <v>230.9</v>
      </c>
      <c r="I22" vm="226">
        <f ca="1"/>
        <v>164.92</v>
      </c>
      <c r="J22" vm="227">
        <f ca="1"/>
        <v>181.41</v>
      </c>
      <c r="K22" vm="228">
        <f ca="1"/>
        <v>105.15</v>
      </c>
    </row>
    <row r="23" spans="1:11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 vm="234">
        <f ca="1"/>
        <v>21.709</v>
      </c>
      <c r="G23" vm="235">
        <f ca="1"/>
        <v>138.94</v>
      </c>
      <c r="H23" vm="236">
        <f ca="1"/>
        <v>229.56</v>
      </c>
      <c r="I23" vm="237">
        <f ca="1"/>
        <v>165.54</v>
      </c>
      <c r="J23" vm="238">
        <f ca="1"/>
        <v>188.27</v>
      </c>
      <c r="K23" vm="239">
        <f ca="1"/>
        <v>112.91</v>
      </c>
    </row>
    <row r="24" spans="1:11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 vm="245">
        <f ca="1"/>
        <v>21.1</v>
      </c>
      <c r="G24" vm="246">
        <f ca="1"/>
        <v>141.09</v>
      </c>
      <c r="H24" vm="247">
        <f ca="1"/>
        <v>230.13</v>
      </c>
      <c r="I24" vm="248">
        <f ca="1"/>
        <v>164.61</v>
      </c>
      <c r="J24" vm="249">
        <f ca="1"/>
        <v>189.98</v>
      </c>
      <c r="K24" vm="250">
        <f ca="1"/>
        <v>103.39</v>
      </c>
    </row>
    <row r="25" spans="1:11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 vm="256">
        <f ca="1"/>
        <v>21.088999999999999</v>
      </c>
      <c r="G25" vm="257">
        <f ca="1"/>
        <v>141.91999999999999</v>
      </c>
      <c r="H25" vm="258">
        <f ca="1"/>
        <v>229.44</v>
      </c>
      <c r="I25" vm="259">
        <f ca="1"/>
        <v>163.36000000000001</v>
      </c>
      <c r="J25" vm="260">
        <f ca="1"/>
        <v>194.76</v>
      </c>
      <c r="K25" vm="261">
        <f ca="1"/>
        <v>102.18</v>
      </c>
    </row>
    <row r="26" spans="1:11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 vm="267">
        <f ca="1"/>
        <v>22.172999999999998</v>
      </c>
      <c r="G26" vm="268">
        <f ca="1"/>
        <v>143.65</v>
      </c>
      <c r="H26" vm="269">
        <f ca="1"/>
        <v>231.32</v>
      </c>
      <c r="I26" vm="270">
        <f ca="1"/>
        <v>163.4</v>
      </c>
      <c r="J26" vm="271">
        <f ca="1"/>
        <v>196.81</v>
      </c>
      <c r="K26" vm="272">
        <f ca="1"/>
        <v>102.11</v>
      </c>
    </row>
    <row r="27" spans="1:11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 vm="277">
        <f ca="1"/>
        <v>22.204999999999998</v>
      </c>
      <c r="G27" vm="278">
        <f ca="1"/>
        <v>142.63999999999999</v>
      </c>
      <c r="H27" vm="279">
        <f ca="1"/>
        <v>230.2</v>
      </c>
      <c r="I27" vm="280">
        <f ca="1"/>
        <v>163.61000000000001</v>
      </c>
      <c r="J27" vm="281">
        <f ca="1"/>
        <v>201.29</v>
      </c>
      <c r="K27" vm="282">
        <f ca="1"/>
        <v>100.05</v>
      </c>
    </row>
    <row r="28" spans="1:11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 vm="288">
        <f ca="1"/>
        <v>22.337</v>
      </c>
      <c r="G28" vm="289">
        <f ca="1"/>
        <v>140.41999999999999</v>
      </c>
      <c r="H28" vm="290">
        <f ca="1"/>
        <v>229.35</v>
      </c>
      <c r="I28" vm="291">
        <f ca="1"/>
        <v>161.4</v>
      </c>
      <c r="J28" vm="292">
        <f ca="1"/>
        <v>207.32</v>
      </c>
      <c r="K28" vm="293">
        <f ca="1"/>
        <v>98.24</v>
      </c>
    </row>
    <row r="29" spans="1:11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 vm="299">
        <f ca="1"/>
        <v>21.265000000000001</v>
      </c>
      <c r="G29" vm="300">
        <f ca="1"/>
        <v>141.04</v>
      </c>
      <c r="H29" vm="301">
        <f ca="1"/>
        <v>227.2</v>
      </c>
      <c r="I29" vm="302">
        <f ca="1"/>
        <v>162.15</v>
      </c>
      <c r="J29" vm="303">
        <f ca="1"/>
        <v>196.89</v>
      </c>
      <c r="K29" vm="304">
        <f ca="1"/>
        <v>97.61</v>
      </c>
    </row>
    <row r="30" spans="1:11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 vm="310">
        <f ca="1"/>
        <v>21.788</v>
      </c>
      <c r="G30" vm="311">
        <f ca="1"/>
        <v>142.57</v>
      </c>
      <c r="H30" vm="312">
        <f ca="1"/>
        <v>228.88</v>
      </c>
      <c r="I30" vm="313">
        <f ca="1"/>
        <v>162.75</v>
      </c>
      <c r="J30" vm="314">
        <f ca="1"/>
        <v>194.64</v>
      </c>
      <c r="K30" vm="315">
        <f ca="1"/>
        <v>99.54</v>
      </c>
    </row>
    <row r="31" spans="1:11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 vm="321">
        <f ca="1"/>
        <v>22.971</v>
      </c>
      <c r="G31" vm="322">
        <f ca="1"/>
        <v>143.19999999999999</v>
      </c>
      <c r="H31" vm="323">
        <f ca="1"/>
        <v>229.39</v>
      </c>
      <c r="I31" vm="324">
        <f ca="1"/>
        <v>162.04</v>
      </c>
      <c r="J31" vm="325">
        <f ca="1"/>
        <v>209.25</v>
      </c>
      <c r="K31" vm="326">
        <f ca="1"/>
        <v>99.7</v>
      </c>
    </row>
    <row r="32" spans="1:11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 vm="331">
        <f ca="1"/>
        <v>22.763999999999999</v>
      </c>
      <c r="G32" vm="332">
        <f ca="1"/>
        <v>143.80000000000001</v>
      </c>
      <c r="H32" vm="333">
        <f ca="1"/>
        <v>228.92</v>
      </c>
      <c r="I32" vm="334">
        <f ca="1"/>
        <v>159.37</v>
      </c>
      <c r="J32" vm="335">
        <f ca="1"/>
        <v>214.24</v>
      </c>
      <c r="K32" vm="336">
        <f ca="1"/>
        <v>101.16</v>
      </c>
    </row>
    <row r="33" spans="1:11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 vm="342">
        <f ca="1"/>
        <v>22.001999999999999</v>
      </c>
      <c r="G33" vm="343">
        <f ca="1"/>
        <v>141.82</v>
      </c>
      <c r="H33" vm="344">
        <f ca="1"/>
        <v>225.83</v>
      </c>
      <c r="I33" vm="345">
        <f ca="1"/>
        <v>158.24</v>
      </c>
      <c r="J33" vm="346">
        <f ca="1"/>
        <v>202.04</v>
      </c>
      <c r="K33" vm="347">
        <f ca="1"/>
        <v>98.15</v>
      </c>
    </row>
    <row r="34" spans="1:11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 vm="353">
        <f ca="1"/>
        <v>21.388000000000002</v>
      </c>
      <c r="G34" vm="354">
        <f ca="1"/>
        <v>142.24</v>
      </c>
      <c r="H34" vm="355">
        <f ca="1"/>
        <v>223.56</v>
      </c>
      <c r="I34" vm="356">
        <f ca="1"/>
        <v>160.38999999999999</v>
      </c>
      <c r="J34" vm="357">
        <f ca="1"/>
        <v>208.31</v>
      </c>
      <c r="K34" vm="358">
        <f ca="1"/>
        <v>97.2</v>
      </c>
    </row>
    <row r="35" spans="1:11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 vm="364">
        <f ca="1"/>
        <v>20.655000000000001</v>
      </c>
      <c r="G35" vm="73">
        <f ca="1"/>
        <v>139.63</v>
      </c>
      <c r="H35" vm="365">
        <f ca="1"/>
        <v>220.62</v>
      </c>
      <c r="I35" vm="366">
        <f ca="1"/>
        <v>158</v>
      </c>
      <c r="J35" vm="367">
        <f ca="1"/>
        <v>197.37</v>
      </c>
      <c r="K35" vm="368">
        <f ca="1"/>
        <v>94.58</v>
      </c>
    </row>
    <row r="36" spans="1:11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 vm="374">
        <f ca="1"/>
        <v>20.754000000000001</v>
      </c>
      <c r="G36" vm="375">
        <f ca="1"/>
        <v>138.56</v>
      </c>
      <c r="H36" vm="376">
        <f ca="1"/>
        <v>220.02</v>
      </c>
      <c r="I36" vm="377">
        <f ca="1"/>
        <v>157.78</v>
      </c>
      <c r="J36" vm="378">
        <f ca="1"/>
        <v>200.86</v>
      </c>
      <c r="K36" vm="379">
        <f ca="1"/>
        <v>95.79</v>
      </c>
    </row>
    <row r="37" spans="1:11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 vm="385">
        <f ca="1"/>
        <v>23.664000000000001</v>
      </c>
      <c r="G37" vm="386">
        <f ca="1"/>
        <v>139.66999999999999</v>
      </c>
      <c r="H37" vm="387">
        <f ca="1"/>
        <v>221.13</v>
      </c>
      <c r="I37" vm="388">
        <f ca="1"/>
        <v>157.72999999999999</v>
      </c>
      <c r="J37" vm="389">
        <f ca="1"/>
        <v>202.07</v>
      </c>
      <c r="K37" vm="390">
        <f ca="1"/>
        <v>95.82</v>
      </c>
    </row>
    <row r="38" spans="1:11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 vm="396">
        <f ca="1"/>
        <v>23.286000000000001</v>
      </c>
      <c r="G38" vm="397">
        <f ca="1"/>
        <v>140.93</v>
      </c>
      <c r="H38" vm="398">
        <f ca="1"/>
        <v>219.55</v>
      </c>
      <c r="I38" vm="399">
        <f ca="1"/>
        <v>155.97</v>
      </c>
      <c r="J38" vm="400">
        <f ca="1"/>
        <v>196.88</v>
      </c>
      <c r="K38" vm="401">
        <f ca="1"/>
        <v>93.5</v>
      </c>
    </row>
    <row r="39" spans="1:11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 vm="406">
        <f ca="1"/>
        <v>23.501000000000001</v>
      </c>
      <c r="G39" vm="407">
        <f ca="1"/>
        <v>142.16</v>
      </c>
      <c r="H39" vm="408">
        <f ca="1"/>
        <v>220.35</v>
      </c>
      <c r="I39" vm="409">
        <f ca="1"/>
        <v>155.63</v>
      </c>
      <c r="J39" vm="410">
        <f ca="1"/>
        <v>207.63</v>
      </c>
      <c r="K39" vm="411">
        <f ca="1"/>
        <v>93.76</v>
      </c>
    </row>
    <row r="40" spans="1:11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 vm="417">
        <f ca="1"/>
        <v>23.216000000000001</v>
      </c>
      <c r="G40" vm="418">
        <f ca="1"/>
        <v>143.35</v>
      </c>
      <c r="H40" vm="419">
        <f ca="1"/>
        <v>219.94</v>
      </c>
      <c r="I40" vm="420">
        <f ca="1"/>
        <v>153.26</v>
      </c>
      <c r="J40" vm="421">
        <f ca="1"/>
        <v>205.71</v>
      </c>
      <c r="K40" vm="422">
        <f ca="1"/>
        <v>94.23</v>
      </c>
    </row>
    <row r="41" spans="1:11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 vm="428">
        <f ca="1"/>
        <v>22.698</v>
      </c>
      <c r="G41" vm="429">
        <f ca="1"/>
        <v>142.55000000000001</v>
      </c>
      <c r="H41" vm="430">
        <f ca="1"/>
        <v>218.36</v>
      </c>
      <c r="I41" vm="431">
        <f ca="1"/>
        <v>152.57</v>
      </c>
      <c r="J41" vm="432">
        <f ca="1"/>
        <v>202.77</v>
      </c>
      <c r="K41" vm="433">
        <f ca="1"/>
        <v>92.17</v>
      </c>
    </row>
    <row r="42" spans="1:11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 vm="439">
        <f ca="1"/>
        <v>23.314</v>
      </c>
      <c r="G42" vm="440">
        <f ca="1"/>
        <v>141.07</v>
      </c>
      <c r="H42" vm="441">
        <f ca="1"/>
        <v>219.06</v>
      </c>
      <c r="I42" vm="442">
        <f ca="1"/>
        <v>152.44999999999999</v>
      </c>
      <c r="J42" vm="443">
        <f ca="1"/>
        <v>190.9</v>
      </c>
      <c r="K42" vm="444">
        <f ca="1"/>
        <v>92.13</v>
      </c>
    </row>
    <row r="43" spans="1:11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 vm="450">
        <f ca="1"/>
        <v>23.89</v>
      </c>
      <c r="G43" vm="451">
        <f ca="1"/>
        <v>143.66</v>
      </c>
      <c r="H43" vm="452">
        <f ca="1"/>
        <v>223.77</v>
      </c>
      <c r="I43" vm="453">
        <f ca="1"/>
        <v>154.02000000000001</v>
      </c>
      <c r="J43" vm="454">
        <f ca="1"/>
        <v>197.79</v>
      </c>
      <c r="K43" vm="455">
        <f ca="1"/>
        <v>94.9</v>
      </c>
    </row>
    <row r="44" spans="1:11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 vm="461">
        <f ca="1"/>
        <v>23.553999999999998</v>
      </c>
      <c r="G44" vm="462">
        <f ca="1"/>
        <v>142.82</v>
      </c>
      <c r="H44" vm="463">
        <f ca="1"/>
        <v>226.75</v>
      </c>
      <c r="I44" vm="464">
        <f ca="1"/>
        <v>155.56</v>
      </c>
      <c r="J44" vm="465">
        <f ca="1"/>
        <v>193.81</v>
      </c>
      <c r="K44" vm="466">
        <f ca="1"/>
        <v>93.75</v>
      </c>
    </row>
    <row r="45" spans="1:11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 vm="472">
        <f ca="1"/>
        <v>23.288</v>
      </c>
      <c r="G45" vm="473">
        <f ca="1"/>
        <v>138.62</v>
      </c>
      <c r="H45" vm="474">
        <f ca="1"/>
        <v>223.17</v>
      </c>
      <c r="I45" vm="475">
        <f ca="1"/>
        <v>154.09</v>
      </c>
      <c r="J45" vm="476">
        <f ca="1"/>
        <v>187.71</v>
      </c>
      <c r="K45" vm="477">
        <f ca="1"/>
        <v>93.55</v>
      </c>
    </row>
    <row r="46" spans="1:11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 vm="483">
        <f ca="1"/>
        <v>24.181000000000001</v>
      </c>
      <c r="G46" vm="484">
        <f ca="1"/>
        <v>137.80000000000001</v>
      </c>
      <c r="H46" vm="485">
        <f ca="1"/>
        <v>222.19</v>
      </c>
      <c r="I46" vm="486">
        <f ca="1"/>
        <v>152.96</v>
      </c>
      <c r="J46" vm="487">
        <f ca="1"/>
        <v>182</v>
      </c>
      <c r="K46" vm="488">
        <f ca="1"/>
        <v>93.92</v>
      </c>
    </row>
    <row r="47" spans="1:11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 vm="494">
        <f ca="1"/>
        <v>23.436</v>
      </c>
      <c r="G47" vm="495">
        <f ca="1"/>
        <v>130.34</v>
      </c>
      <c r="H47" vm="496">
        <f ca="1"/>
        <v>220.01</v>
      </c>
      <c r="I47" vm="497">
        <f ca="1"/>
        <v>151.24</v>
      </c>
      <c r="J47" vm="498">
        <f ca="1"/>
        <v>172.92</v>
      </c>
      <c r="K47" vm="499">
        <f ca="1"/>
        <v>92.25</v>
      </c>
    </row>
    <row r="48" spans="1:11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 vm="505">
        <f ca="1"/>
        <v>22.965</v>
      </c>
      <c r="G48" vm="506">
        <f ca="1"/>
        <v>133.65</v>
      </c>
      <c r="H48" vm="507">
        <f ca="1"/>
        <v>216.14</v>
      </c>
      <c r="I48" vm="508">
        <f ca="1"/>
        <v>151.61000000000001</v>
      </c>
      <c r="J48" vm="509">
        <f ca="1"/>
        <v>173.44</v>
      </c>
      <c r="K48" vm="510">
        <f ca="1"/>
        <v>90.73</v>
      </c>
    </row>
    <row r="49" spans="1:11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 vm="516">
        <f ca="1"/>
        <v>22.966000000000001</v>
      </c>
      <c r="G49" vm="517">
        <f ca="1"/>
        <v>131.25</v>
      </c>
      <c r="H49" vm="518">
        <f ca="1"/>
        <v>214.47</v>
      </c>
      <c r="I49" vm="519">
        <f ca="1"/>
        <v>153.06</v>
      </c>
      <c r="J49" vm="520">
        <f ca="1"/>
        <v>174.48</v>
      </c>
      <c r="K49" vm="521">
        <f ca="1"/>
        <v>92.43</v>
      </c>
    </row>
    <row r="50" spans="1:11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 vm="527">
        <f ca="1"/>
        <v>24.062999999999999</v>
      </c>
      <c r="G50" vm="528">
        <f ca="1"/>
        <v>134.62</v>
      </c>
      <c r="H50" vm="529">
        <f ca="1"/>
        <v>218.66</v>
      </c>
      <c r="I50" vm="530">
        <f ca="1"/>
        <v>153.91999999999999</v>
      </c>
      <c r="J50" vm="531">
        <f ca="1"/>
        <v>183.26</v>
      </c>
      <c r="K50" vm="532">
        <f ca="1"/>
        <v>94.88</v>
      </c>
    </row>
    <row r="51" spans="1:11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 vm="538">
        <f ca="1"/>
        <v>24.228000000000002</v>
      </c>
      <c r="G51" vm="539">
        <f ca="1"/>
        <v>128.26</v>
      </c>
      <c r="H51" vm="540">
        <f ca="1"/>
        <v>216.37</v>
      </c>
      <c r="I51" vm="541">
        <f ca="1"/>
        <v>154.35</v>
      </c>
      <c r="J51" vm="542">
        <f ca="1"/>
        <v>180.45</v>
      </c>
      <c r="K51" vm="543">
        <f ca="1"/>
        <v>96.2</v>
      </c>
    </row>
    <row r="52" spans="1:11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 vm="549">
        <f ca="1"/>
        <v>25.541</v>
      </c>
      <c r="G52" vm="550">
        <f ca="1"/>
        <v>130.75</v>
      </c>
      <c r="H52" vm="551">
        <f ca="1"/>
        <v>217.45</v>
      </c>
      <c r="I52" vm="552">
        <f ca="1"/>
        <v>154.03</v>
      </c>
      <c r="J52" vm="553">
        <f ca="1"/>
        <v>184.13</v>
      </c>
      <c r="K52" vm="554">
        <f ca="1"/>
        <v>100.04</v>
      </c>
    </row>
    <row r="53" spans="1:11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 vm="560">
        <f ca="1"/>
        <v>25.725000000000001</v>
      </c>
      <c r="G53" vm="561">
        <f ca="1"/>
        <v>125.81</v>
      </c>
      <c r="H53" vm="562">
        <f ca="1"/>
        <v>217.39</v>
      </c>
      <c r="I53" vm="563">
        <f ca="1"/>
        <v>152.38</v>
      </c>
      <c r="J53" vm="20">
        <f ca="1"/>
        <v>180.13</v>
      </c>
      <c r="K53" vm="564">
        <f ca="1"/>
        <v>98.95</v>
      </c>
    </row>
    <row r="54" spans="1:11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 vm="570">
        <f ca="1"/>
        <v>25.9</v>
      </c>
      <c r="G54" vm="571">
        <f ca="1"/>
        <v>127.14</v>
      </c>
      <c r="H54" vm="572">
        <f ca="1"/>
        <v>218.15</v>
      </c>
      <c r="I54" vm="573">
        <f ca="1"/>
        <v>153.88999999999999</v>
      </c>
      <c r="J54" vm="574">
        <f ca="1"/>
        <v>183.25</v>
      </c>
      <c r="K54" vm="575">
        <f ca="1"/>
        <v>97.71</v>
      </c>
    </row>
    <row r="55" spans="1:11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 vm="581">
        <f ca="1"/>
        <v>26.199000000000002</v>
      </c>
      <c r="G55" vm="582">
        <f ca="1"/>
        <v>130.55000000000001</v>
      </c>
      <c r="H55" vm="583">
        <f ca="1"/>
        <v>221.95</v>
      </c>
      <c r="I55" vm="573">
        <f ca="1"/>
        <v>153.88999999999999</v>
      </c>
      <c r="J55" vm="584">
        <f ca="1"/>
        <v>197.58</v>
      </c>
      <c r="K55" vm="585">
        <f ca="1"/>
        <v>100.61</v>
      </c>
    </row>
    <row r="56" spans="1:11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 vm="591">
        <f ca="1"/>
        <v>26.468</v>
      </c>
      <c r="G56" vm="592">
        <f ca="1"/>
        <v>127.18</v>
      </c>
      <c r="H56" vm="593">
        <f ca="1"/>
        <v>220.04</v>
      </c>
      <c r="I56" vm="594">
        <f ca="1"/>
        <v>151.05000000000001</v>
      </c>
      <c r="J56" vm="595">
        <f ca="1"/>
        <v>191.15</v>
      </c>
      <c r="K56" vm="596">
        <f ca="1"/>
        <v>98.7</v>
      </c>
    </row>
    <row r="57" spans="1:11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 vm="602">
        <f ca="1"/>
        <v>27.190999999999999</v>
      </c>
      <c r="G57" vm="603">
        <f ca="1"/>
        <v>126.84</v>
      </c>
      <c r="H57" vm="604">
        <f ca="1"/>
        <v>222.59</v>
      </c>
      <c r="I57" vm="605">
        <f ca="1"/>
        <v>151.13</v>
      </c>
      <c r="J57" vm="606">
        <f ca="1"/>
        <v>192.22</v>
      </c>
      <c r="K57" vm="607">
        <f ca="1"/>
        <v>98.71</v>
      </c>
    </row>
    <row r="58" spans="1:11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 vm="613">
        <f ca="1"/>
        <v>26.779</v>
      </c>
      <c r="G58" vm="614">
        <f ca="1"/>
        <v>124.91</v>
      </c>
      <c r="H58" vm="615">
        <f ca="1"/>
        <v>221.04</v>
      </c>
      <c r="I58" vm="616">
        <f ca="1"/>
        <v>152.65</v>
      </c>
      <c r="J58" vm="617">
        <f ca="1"/>
        <v>190.41</v>
      </c>
      <c r="K58" vm="618">
        <f ca="1"/>
        <v>98.13</v>
      </c>
    </row>
    <row r="59" spans="1:11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 vm="624">
        <f ca="1"/>
        <v>26.530999999999999</v>
      </c>
      <c r="G59" vm="625">
        <f ca="1"/>
        <v>128.49</v>
      </c>
      <c r="H59" vm="626">
        <f ca="1"/>
        <v>221.81</v>
      </c>
      <c r="I59" vm="627">
        <f ca="1"/>
        <v>153.30000000000001</v>
      </c>
      <c r="J59" vm="628">
        <f ca="1"/>
        <v>191.81</v>
      </c>
      <c r="K59" vm="629">
        <f ca="1"/>
        <v>98.04</v>
      </c>
    </row>
    <row r="60" spans="1:11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 vm="635">
        <f ca="1"/>
        <v>26.41</v>
      </c>
      <c r="G60" vm="636">
        <f ca="1"/>
        <v>128.88</v>
      </c>
      <c r="H60" vm="637">
        <f ca="1"/>
        <v>220.33</v>
      </c>
      <c r="I60" vm="638">
        <f ca="1"/>
        <v>151.82</v>
      </c>
      <c r="J60" vm="639">
        <f ca="1"/>
        <v>189.19</v>
      </c>
      <c r="K60" vm="640">
        <f ca="1"/>
        <v>97.24</v>
      </c>
    </row>
    <row r="61" spans="1:11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 vm="646">
        <f ca="1"/>
        <v>26.984000000000002</v>
      </c>
      <c r="G61" vm="647">
        <f ca="1"/>
        <v>129.13999999999999</v>
      </c>
      <c r="H61" vm="648">
        <f ca="1"/>
        <v>223.3</v>
      </c>
      <c r="I61" vm="649">
        <f ca="1"/>
        <v>153.31</v>
      </c>
      <c r="J61" vm="650">
        <f ca="1"/>
        <v>193.88</v>
      </c>
      <c r="K61" vm="651">
        <f ca="1"/>
        <v>100.25</v>
      </c>
    </row>
    <row r="62" spans="1:11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 vm="657">
        <f ca="1"/>
        <v>27.382999999999999</v>
      </c>
      <c r="G62" vm="658">
        <f ca="1"/>
        <v>128.75</v>
      </c>
      <c r="H62" vm="659">
        <f ca="1"/>
        <v>222.36</v>
      </c>
      <c r="I62" vm="660">
        <f ca="1"/>
        <v>153.43</v>
      </c>
      <c r="J62" vm="661">
        <f ca="1"/>
        <v>195.28</v>
      </c>
      <c r="K62" vm="662">
        <f ca="1"/>
        <v>102</v>
      </c>
    </row>
    <row r="63" spans="1:11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 vm="668">
        <f ca="1"/>
        <v>27.777000000000001</v>
      </c>
      <c r="G63" vm="669">
        <f ca="1"/>
        <v>130.31</v>
      </c>
      <c r="H63" vm="670">
        <f ca="1"/>
        <v>225.46</v>
      </c>
      <c r="I63" vm="556">
        <f ca="1"/>
        <v>155</v>
      </c>
      <c r="J63" vm="671">
        <f ca="1"/>
        <v>207.46</v>
      </c>
      <c r="K63" vm="672">
        <f ca="1"/>
        <v>103.29</v>
      </c>
    </row>
    <row r="64" spans="1:11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 vm="678">
        <f ca="1"/>
        <v>27.965</v>
      </c>
      <c r="G64" vm="679">
        <f ca="1"/>
        <v>130.16</v>
      </c>
      <c r="H64" vm="680">
        <f ca="1"/>
        <v>229</v>
      </c>
      <c r="I64" vm="681">
        <f ca="1"/>
        <v>156.85</v>
      </c>
      <c r="J64" vm="682">
        <f ca="1"/>
        <v>194.77</v>
      </c>
      <c r="K64" vm="683">
        <f ca="1"/>
        <v>102.41</v>
      </c>
    </row>
    <row r="65" spans="1:11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 vm="689">
        <f ca="1"/>
        <v>27.452999999999999</v>
      </c>
      <c r="G65" vm="690">
        <f ca="1"/>
        <v>128.41999999999999</v>
      </c>
      <c r="H65" vm="691">
        <f ca="1"/>
        <v>227.66</v>
      </c>
      <c r="I65" vm="692">
        <f ca="1"/>
        <v>158.49</v>
      </c>
      <c r="J65" vm="693">
        <f ca="1"/>
        <v>192.58</v>
      </c>
      <c r="K65" vm="694">
        <f ca="1"/>
        <v>103.95</v>
      </c>
    </row>
    <row r="66" spans="1:11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 vm="700">
        <f ca="1"/>
        <v>26.881</v>
      </c>
      <c r="G66" vm="701">
        <f ca="1"/>
        <v>127.61</v>
      </c>
      <c r="H66" vm="702">
        <f ca="1"/>
        <v>228.17</v>
      </c>
      <c r="I66" vm="703">
        <f ca="1"/>
        <v>165.61</v>
      </c>
      <c r="J66" vm="704">
        <f ca="1"/>
        <v>185.52</v>
      </c>
      <c r="K66" vm="705">
        <f ca="1"/>
        <v>101.1</v>
      </c>
    </row>
    <row r="67" spans="1:11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 vm="711">
        <f ca="1"/>
        <v>27.036999999999999</v>
      </c>
      <c r="G67" vm="712">
        <f ca="1"/>
        <v>127.47</v>
      </c>
      <c r="H67" vm="713">
        <f ca="1"/>
        <v>225.99</v>
      </c>
      <c r="I67" vm="714">
        <f ca="1"/>
        <v>165.15</v>
      </c>
      <c r="J67" vm="715">
        <f ca="1"/>
        <v>185.06</v>
      </c>
      <c r="K67" vm="716">
        <f ca="1"/>
        <v>102.06</v>
      </c>
    </row>
    <row r="68" spans="1:11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 vm="722">
        <f ca="1"/>
        <v>27.579000000000001</v>
      </c>
      <c r="G68" vm="723">
        <f ca="1"/>
        <v>127.89</v>
      </c>
      <c r="H68" vm="724">
        <f ca="1"/>
        <v>226.43</v>
      </c>
      <c r="I68" vm="725">
        <f ca="1"/>
        <v>164.32</v>
      </c>
      <c r="J68" vm="471">
        <f ca="1"/>
        <v>184.51</v>
      </c>
      <c r="K68" vm="726">
        <f ca="1"/>
        <v>102.17</v>
      </c>
    </row>
    <row r="69" spans="1:11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 vm="732">
        <f ca="1"/>
        <v>27.169</v>
      </c>
      <c r="G69" vm="733">
        <f ca="1"/>
        <v>128.52000000000001</v>
      </c>
      <c r="H69" vm="734">
        <f ca="1"/>
        <v>228.45</v>
      </c>
      <c r="I69" vm="735">
        <f ca="1"/>
        <v>164.27</v>
      </c>
      <c r="J69" vm="736">
        <f ca="1"/>
        <v>186.79</v>
      </c>
      <c r="K69" vm="737">
        <f ca="1"/>
        <v>99.92</v>
      </c>
    </row>
    <row r="70" spans="1:11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 vm="743">
        <f ca="1"/>
        <v>26.495000000000001</v>
      </c>
      <c r="G70" vm="744">
        <f ca="1"/>
        <v>128.5</v>
      </c>
      <c r="H70" vm="745">
        <f ca="1"/>
        <v>227.81</v>
      </c>
      <c r="I70" vm="746">
        <f ca="1"/>
        <v>163.92</v>
      </c>
      <c r="J70" vm="747">
        <f ca="1"/>
        <v>180.54</v>
      </c>
      <c r="K70" vm="748">
        <f ca="1"/>
        <v>97.83</v>
      </c>
    </row>
    <row r="71" spans="1:11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 vm="753">
        <f ca="1"/>
        <v>26.463000000000001</v>
      </c>
      <c r="G71" vm="754">
        <f ca="1"/>
        <v>128.99</v>
      </c>
      <c r="H71" vm="755">
        <f ca="1"/>
        <v>232.69</v>
      </c>
      <c r="I71" vm="756">
        <f ca="1"/>
        <v>166.11</v>
      </c>
      <c r="J71" vm="757">
        <f ca="1"/>
        <v>185.9</v>
      </c>
      <c r="K71" vm="758">
        <f ca="1"/>
        <v>102.4</v>
      </c>
    </row>
    <row r="72" spans="1:11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 vm="764">
        <f ca="1"/>
        <v>26.757999999999999</v>
      </c>
      <c r="G72" vm="765">
        <f ca="1"/>
        <v>138.72999999999999</v>
      </c>
      <c r="H72" vm="766">
        <f ca="1"/>
        <v>234.02</v>
      </c>
      <c r="I72" vm="767">
        <f ca="1"/>
        <v>165.84</v>
      </c>
      <c r="J72" vm="768">
        <f ca="1"/>
        <v>185</v>
      </c>
      <c r="K72" vm="769">
        <f ca="1"/>
        <v>102.51</v>
      </c>
    </row>
    <row r="73" spans="1:11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 vm="775">
        <f ca="1"/>
        <v>27.001999999999999</v>
      </c>
      <c r="G73" vm="776">
        <f ca="1"/>
        <v>139.83000000000001</v>
      </c>
      <c r="H73" vm="777">
        <f ca="1"/>
        <v>233.48</v>
      </c>
      <c r="I73" vm="778">
        <f ca="1"/>
        <v>165.67</v>
      </c>
      <c r="J73" vm="779">
        <f ca="1"/>
        <v>187.04</v>
      </c>
      <c r="K73" vm="780">
        <f ca="1"/>
        <v>102.74</v>
      </c>
    </row>
    <row r="74" spans="1:11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 vm="786">
        <f ca="1"/>
        <v>27.667000000000002</v>
      </c>
      <c r="G74" vm="787">
        <f ca="1"/>
        <v>141.4</v>
      </c>
      <c r="H74" vm="788">
        <f ca="1"/>
        <v>233.6</v>
      </c>
      <c r="I74" vm="789">
        <f ca="1"/>
        <v>161.01</v>
      </c>
      <c r="J74" vm="790">
        <f ca="1"/>
        <v>184.31</v>
      </c>
      <c r="K74" vm="791">
        <f ca="1"/>
        <v>102.3</v>
      </c>
    </row>
    <row r="75" spans="1:11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 vm="797">
        <f ca="1"/>
        <v>27.931000000000001</v>
      </c>
      <c r="G75" vm="798">
        <f ca="1"/>
        <v>141.22</v>
      </c>
      <c r="H75" vm="799">
        <f ca="1"/>
        <v>232.57</v>
      </c>
      <c r="I75" vm="800">
        <f ca="1"/>
        <v>162.53</v>
      </c>
      <c r="J75" vm="801">
        <f ca="1"/>
        <v>180.59</v>
      </c>
      <c r="K75" vm="802">
        <f ca="1"/>
        <v>104.3</v>
      </c>
    </row>
    <row r="76" spans="1:11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 vm="807">
        <f ca="1"/>
        <v>27.103999999999999</v>
      </c>
      <c r="G76" vm="808">
        <f ca="1"/>
        <v>140.81</v>
      </c>
      <c r="H76" vm="809">
        <f ca="1"/>
        <v>234.6</v>
      </c>
      <c r="I76" vm="810">
        <f ca="1"/>
        <v>163.58000000000001</v>
      </c>
      <c r="J76" vm="811">
        <f ca="1"/>
        <v>162.99</v>
      </c>
      <c r="K76" vm="812">
        <f ca="1"/>
        <v>103.81</v>
      </c>
    </row>
    <row r="77" spans="1:11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 vm="818">
        <f ca="1"/>
        <v>27.119</v>
      </c>
      <c r="G77" vm="819">
        <f ca="1"/>
        <v>140.54</v>
      </c>
      <c r="H77" vm="820">
        <f ca="1"/>
        <v>234.05</v>
      </c>
      <c r="I77" vm="821">
        <f ca="1"/>
        <v>162.69</v>
      </c>
      <c r="J77" vm="822">
        <f ca="1"/>
        <v>165.08</v>
      </c>
      <c r="K77" vm="823">
        <f ca="1"/>
        <v>106.96</v>
      </c>
    </row>
    <row r="78" spans="1:11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 vm="828">
        <f ca="1"/>
        <v>27.042000000000002</v>
      </c>
      <c r="G78" vm="829">
        <f ca="1"/>
        <v>140.72999999999999</v>
      </c>
      <c r="H78" vm="830">
        <f ca="1"/>
        <v>232.76</v>
      </c>
      <c r="I78" vm="831">
        <f ca="1"/>
        <v>163.68</v>
      </c>
      <c r="J78" vm="832">
        <f ca="1"/>
        <v>162.55000000000001</v>
      </c>
      <c r="K78" vm="833">
        <f ca="1"/>
        <v>106.21</v>
      </c>
    </row>
    <row r="79" spans="1:11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 vm="839">
        <f ca="1"/>
        <v>26.241</v>
      </c>
      <c r="G79" vm="840">
        <f ca="1"/>
        <v>137.66999999999999</v>
      </c>
      <c r="H79" vm="841">
        <f ca="1"/>
        <v>229.59</v>
      </c>
      <c r="I79" vm="842">
        <f ca="1"/>
        <v>165.18</v>
      </c>
      <c r="J79" vm="843">
        <f ca="1"/>
        <v>160.66999999999999</v>
      </c>
      <c r="K79" vm="844">
        <f ca="1"/>
        <v>102.57</v>
      </c>
    </row>
    <row r="80" spans="1:11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 vm="849">
        <f ca="1"/>
        <v>26.956</v>
      </c>
      <c r="G80" vm="850">
        <f ca="1"/>
        <v>135.22999999999999</v>
      </c>
      <c r="H80" vm="851">
        <f ca="1"/>
        <v>228.15</v>
      </c>
      <c r="I80" vm="852">
        <f ca="1"/>
        <v>162.62</v>
      </c>
      <c r="J80" vm="853">
        <f ca="1"/>
        <v>153.75</v>
      </c>
      <c r="K80" vm="854">
        <f ca="1"/>
        <v>104.98</v>
      </c>
    </row>
    <row r="81" spans="1:11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 vm="860">
        <f ca="1"/>
        <v>27.225999999999999</v>
      </c>
      <c r="G81" vm="861">
        <f ca="1"/>
        <v>137.05000000000001</v>
      </c>
      <c r="H81" vm="862">
        <f ca="1"/>
        <v>229.01</v>
      </c>
      <c r="I81" vm="863">
        <f ca="1"/>
        <v>163</v>
      </c>
      <c r="J81" vm="864">
        <f ca="1"/>
        <v>160.19</v>
      </c>
      <c r="K81" vm="865">
        <f ca="1"/>
        <v>109.82</v>
      </c>
    </row>
    <row r="82" spans="1:11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 vm="871">
        <f ca="1"/>
        <v>27.748999999999999</v>
      </c>
      <c r="G82" vm="872">
        <f ca="1"/>
        <v>138.24</v>
      </c>
      <c r="H82" vm="873">
        <f ca="1"/>
        <v>232.73</v>
      </c>
      <c r="I82" vm="874">
        <f ca="1"/>
        <v>163.69999999999999</v>
      </c>
      <c r="J82" vm="875">
        <f ca="1"/>
        <v>164.31</v>
      </c>
      <c r="K82" vm="876">
        <f ca="1"/>
        <v>105.45</v>
      </c>
    </row>
    <row r="83" spans="1:11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 vm="882">
        <f ca="1"/>
        <v>28.91</v>
      </c>
      <c r="G83" vm="883">
        <f ca="1"/>
        <v>141.19999999999999</v>
      </c>
      <c r="H83" vm="884">
        <f ca="1"/>
        <v>232.51</v>
      </c>
      <c r="I83" vm="885">
        <f ca="1"/>
        <v>163.6</v>
      </c>
      <c r="J83" vm="886">
        <f ca="1"/>
        <v>161.83000000000001</v>
      </c>
      <c r="K83" vm="887">
        <f ca="1"/>
        <v>102.05</v>
      </c>
    </row>
    <row r="84" spans="1:11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 vm="893">
        <f ca="1"/>
        <v>28.21</v>
      </c>
      <c r="G84" vm="894">
        <f ca="1"/>
        <v>138.91999999999999</v>
      </c>
      <c r="H84" vm="895">
        <f ca="1"/>
        <v>226.98</v>
      </c>
      <c r="I84" vm="896">
        <f ca="1"/>
        <v>165.03</v>
      </c>
      <c r="J84" vm="897">
        <f ca="1"/>
        <v>160.31</v>
      </c>
      <c r="K84" vm="898">
        <f ca="1"/>
        <v>103.63</v>
      </c>
    </row>
    <row r="85" spans="1:11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 vm="903">
        <f ca="1"/>
        <v>27.802</v>
      </c>
      <c r="G85" vm="904">
        <f ca="1"/>
        <v>135.97999999999999</v>
      </c>
      <c r="H85" vm="905">
        <f ca="1"/>
        <v>225.98</v>
      </c>
      <c r="I85" vm="906">
        <f ca="1"/>
        <v>162.87</v>
      </c>
      <c r="J85" vm="907">
        <f ca="1"/>
        <v>160.61000000000001</v>
      </c>
      <c r="K85" vm="908">
        <f ca="1"/>
        <v>103.65</v>
      </c>
    </row>
    <row r="86" spans="1:11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 vm="913">
        <f ca="1"/>
        <v>27.562000000000001</v>
      </c>
      <c r="G86" vm="914">
        <f ca="1"/>
        <v>134.12</v>
      </c>
      <c r="H86" vm="915">
        <f ca="1"/>
        <v>225.6</v>
      </c>
      <c r="I86" vm="916">
        <f ca="1"/>
        <v>162.13</v>
      </c>
      <c r="J86" vm="917">
        <f ca="1"/>
        <v>161.19999999999999</v>
      </c>
      <c r="K86" vm="918">
        <f ca="1"/>
        <v>104</v>
      </c>
    </row>
    <row r="87" spans="1:11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 vm="924">
        <f ca="1"/>
        <v>28.68</v>
      </c>
      <c r="G87" vm="925">
        <f ca="1"/>
        <v>136.74</v>
      </c>
      <c r="H87" vm="926">
        <f ca="1"/>
        <v>231.78</v>
      </c>
      <c r="I87" vm="927">
        <f ca="1"/>
        <v>162.68</v>
      </c>
      <c r="J87" vm="928">
        <f ca="1"/>
        <v>170.06</v>
      </c>
      <c r="K87" vm="929">
        <f ca="1"/>
        <v>105.655</v>
      </c>
    </row>
    <row r="88" spans="1:11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 vm="935">
        <f ca="1"/>
        <v>29.151</v>
      </c>
      <c r="G88" vm="936">
        <f ca="1"/>
        <v>137.07</v>
      </c>
      <c r="H88" vm="937">
        <f ca="1"/>
        <v>232.23</v>
      </c>
      <c r="I88" vm="938">
        <f ca="1"/>
        <v>162.31</v>
      </c>
      <c r="J88" vm="939">
        <f ca="1"/>
        <v>171.79</v>
      </c>
      <c r="K88" vm="940">
        <f ca="1"/>
        <v>105.83</v>
      </c>
    </row>
    <row r="89" spans="1:11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 vm="946">
        <f ca="1"/>
        <v>28.571000000000002</v>
      </c>
      <c r="G89" vm="947">
        <f ca="1"/>
        <v>136.41</v>
      </c>
      <c r="H89" vm="948">
        <f ca="1"/>
        <v>233.26</v>
      </c>
      <c r="I89" vm="949">
        <f ca="1"/>
        <v>161.05000000000001</v>
      </c>
      <c r="J89" vm="950">
        <f ca="1"/>
        <v>169.15</v>
      </c>
      <c r="K89" vm="951">
        <f ca="1"/>
        <v>106.62</v>
      </c>
    </row>
    <row r="90" spans="1:11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 vm="957">
        <f ca="1"/>
        <v>28.885000000000002</v>
      </c>
      <c r="G90" vm="958">
        <f ca="1"/>
        <v>136.47999999999999</v>
      </c>
      <c r="H90" vm="959">
        <f ca="1"/>
        <v>231.27</v>
      </c>
      <c r="I90" vm="960">
        <f ca="1"/>
        <v>161.65</v>
      </c>
      <c r="J90" vm="889">
        <f ca="1"/>
        <v>168.54</v>
      </c>
      <c r="K90" vm="961">
        <f ca="1"/>
        <v>110.19</v>
      </c>
    </row>
    <row r="91" spans="1:11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 vm="967">
        <f ca="1"/>
        <v>28.577999999999999</v>
      </c>
      <c r="G91" vm="968">
        <f ca="1"/>
        <v>136.05000000000001</v>
      </c>
      <c r="H91" vm="969">
        <f ca="1"/>
        <v>231.01</v>
      </c>
      <c r="I91" vm="970">
        <f ca="1"/>
        <v>160.99</v>
      </c>
      <c r="J91" vm="363">
        <f ca="1"/>
        <v>172.08</v>
      </c>
      <c r="K91" vm="971">
        <f ca="1"/>
        <v>112.18</v>
      </c>
    </row>
    <row r="92" spans="1:11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 vm="977">
        <f ca="1"/>
        <v>28.34</v>
      </c>
      <c r="G92" vm="978">
        <f ca="1"/>
        <v>134.1</v>
      </c>
      <c r="H92" vm="979">
        <f ca="1"/>
        <v>231.38</v>
      </c>
      <c r="I92" vm="980">
        <f ca="1"/>
        <v>160.78</v>
      </c>
      <c r="J92" vm="981">
        <f ca="1"/>
        <v>167.98</v>
      </c>
      <c r="K92" vm="982">
        <f ca="1"/>
        <v>110.26</v>
      </c>
    </row>
    <row r="93" spans="1:11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 vm="988">
        <f ca="1"/>
        <v>28.952999999999999</v>
      </c>
      <c r="G93" vm="850">
        <f ca="1"/>
        <v>135.22999999999999</v>
      </c>
      <c r="H93" vm="989">
        <f ca="1"/>
        <v>232.81</v>
      </c>
      <c r="I93" vm="990">
        <f ca="1"/>
        <v>159.55000000000001</v>
      </c>
      <c r="J93" vm="991">
        <f ca="1"/>
        <v>166.35</v>
      </c>
      <c r="K93" vm="992">
        <f ca="1"/>
        <v>111.2</v>
      </c>
    </row>
    <row r="94" spans="1:11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 vm="997">
        <f ca="1"/>
        <v>29.213000000000001</v>
      </c>
      <c r="G94" vm="998">
        <f ca="1"/>
        <v>134.32</v>
      </c>
      <c r="H94" vm="999">
        <f ca="1"/>
        <v>230.47</v>
      </c>
      <c r="I94" vm="1000">
        <f ca="1"/>
        <v>159.34</v>
      </c>
      <c r="J94" vm="1001">
        <f ca="1"/>
        <v>166.52</v>
      </c>
      <c r="K94" vm="1002">
        <f ca="1"/>
        <v>113.4</v>
      </c>
    </row>
    <row r="95" spans="1:11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 vm="1008">
        <f ca="1"/>
        <v>30.178000000000001</v>
      </c>
      <c r="G95" vm="161">
        <f ca="1"/>
        <v>138.44999999999999</v>
      </c>
      <c r="H95" vm="1009">
        <f ca="1"/>
        <v>232.65</v>
      </c>
      <c r="I95" vm="1010">
        <f ca="1"/>
        <v>158.99</v>
      </c>
      <c r="J95" vm="1011">
        <f ca="1"/>
        <v>173.86</v>
      </c>
      <c r="K95" vm="1012">
        <f ca="1"/>
        <v>115.5</v>
      </c>
    </row>
    <row r="96" spans="1:11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 vm="1018">
        <f ca="1"/>
        <v>31.678000000000001</v>
      </c>
      <c r="G96" vm="1019">
        <f ca="1"/>
        <v>139.5</v>
      </c>
      <c r="H96" vm="788">
        <f ca="1"/>
        <v>233.6</v>
      </c>
      <c r="I96" vm="1020">
        <f ca="1"/>
        <v>158.47999999999999</v>
      </c>
      <c r="J96" vm="1021">
        <f ca="1"/>
        <v>176.89</v>
      </c>
      <c r="K96" vm="1022">
        <f ca="1"/>
        <v>118.15</v>
      </c>
    </row>
    <row r="97" spans="1:11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 vm="1027">
        <f ca="1"/>
        <v>31.263999999999999</v>
      </c>
      <c r="G97" vm="1028">
        <f ca="1"/>
        <v>139.18</v>
      </c>
      <c r="H97" vm="1029">
        <f ca="1"/>
        <v>233.31</v>
      </c>
      <c r="I97" vm="1030">
        <f ca="1"/>
        <v>158.91</v>
      </c>
      <c r="J97" vm="1031">
        <f ca="1"/>
        <v>180.14</v>
      </c>
      <c r="K97" vm="1032">
        <f ca="1"/>
        <v>116.25</v>
      </c>
    </row>
    <row r="98" spans="1:11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 vm="1038">
        <f ca="1"/>
        <v>31.175999999999998</v>
      </c>
      <c r="G98" vm="1039">
        <f ca="1"/>
        <v>138.03</v>
      </c>
      <c r="H98" vm="1040">
        <f ca="1"/>
        <v>231.28</v>
      </c>
      <c r="I98" vm="1041">
        <f ca="1"/>
        <v>156.87</v>
      </c>
      <c r="J98" vm="1042">
        <f ca="1"/>
        <v>188.87</v>
      </c>
      <c r="K98" vm="1043">
        <f ca="1"/>
        <v>115.01</v>
      </c>
    </row>
    <row r="99" spans="1:11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 vm="1049">
        <f ca="1"/>
        <v>30.687999999999999</v>
      </c>
      <c r="G99" vm="1050">
        <f ca="1"/>
        <v>136.59</v>
      </c>
      <c r="H99" vm="1051">
        <f ca="1"/>
        <v>224.58</v>
      </c>
      <c r="I99" vm="1052">
        <f ca="1"/>
        <v>156.81</v>
      </c>
      <c r="J99" vm="1053">
        <f ca="1"/>
        <v>185.77</v>
      </c>
      <c r="K99" vm="1054">
        <f ca="1"/>
        <v>114.99</v>
      </c>
    </row>
    <row r="100" spans="1:11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 vm="1060">
        <f ca="1"/>
        <v>30.538</v>
      </c>
      <c r="G100" vm="1061">
        <f ca="1"/>
        <v>135.34</v>
      </c>
      <c r="H100" vm="1062">
        <f ca="1"/>
        <v>222.25</v>
      </c>
      <c r="I100" vm="1063">
        <f ca="1"/>
        <v>156.66</v>
      </c>
      <c r="J100" vm="1064">
        <f ca="1"/>
        <v>182.9</v>
      </c>
      <c r="K100" vm="1065">
        <f ca="1"/>
        <v>116.75</v>
      </c>
    </row>
    <row r="101" spans="1:11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 vm="1071">
        <f ca="1"/>
        <v>37.979999999999997</v>
      </c>
      <c r="G101" vm="1072">
        <f ca="1"/>
        <v>135.66999999999999</v>
      </c>
      <c r="H101" vm="1073">
        <f ca="1"/>
        <v>223.38</v>
      </c>
      <c r="I101" vm="1074">
        <f ca="1"/>
        <v>154.41</v>
      </c>
      <c r="J101" vm="1075">
        <f ca="1"/>
        <v>184.47</v>
      </c>
      <c r="K101" vm="1076">
        <f ca="1"/>
        <v>115</v>
      </c>
    </row>
    <row r="102" spans="1:11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 vm="1082">
        <f ca="1"/>
        <v>38.945999999999998</v>
      </c>
      <c r="G102" vm="1083">
        <f ca="1"/>
        <v>136.94</v>
      </c>
      <c r="H102" vm="1084">
        <f ca="1"/>
        <v>225.01</v>
      </c>
      <c r="I102" vm="541">
        <f ca="1"/>
        <v>154.35</v>
      </c>
      <c r="J102" vm="1085">
        <f ca="1"/>
        <v>193.17</v>
      </c>
      <c r="K102" vm="1086">
        <f ca="1"/>
        <v>120.11</v>
      </c>
    </row>
    <row r="103" spans="1:11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 vm="1092">
        <f ca="1"/>
        <v>40.110999999999997</v>
      </c>
      <c r="G103" vm="1093">
        <f ca="1"/>
        <v>137.46</v>
      </c>
      <c r="H103" vm="1094">
        <f ca="1"/>
        <v>221.64</v>
      </c>
      <c r="I103" vm="1095">
        <f ca="1"/>
        <v>154.37</v>
      </c>
      <c r="J103" vm="1096">
        <f ca="1"/>
        <v>201.16</v>
      </c>
      <c r="K103" vm="1097">
        <f ca="1"/>
        <v>121.66</v>
      </c>
    </row>
    <row r="104" spans="1:11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 vm="1103">
        <f ca="1"/>
        <v>37.834000000000003</v>
      </c>
      <c r="G104" vm="1104">
        <f ca="1"/>
        <v>135.71</v>
      </c>
      <c r="H104" vm="1105">
        <f ca="1"/>
        <v>221.03</v>
      </c>
      <c r="I104" vm="1106">
        <f ca="1"/>
        <v>155.06</v>
      </c>
      <c r="J104" vm="1107">
        <f ca="1"/>
        <v>203.93</v>
      </c>
      <c r="K104" vm="1108">
        <f ca="1"/>
        <v>120.58</v>
      </c>
    </row>
    <row r="105" spans="1:11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 vm="1114">
        <f ca="1"/>
        <v>39.770000000000003</v>
      </c>
      <c r="G105" vm="1115">
        <f ca="1"/>
        <v>137.58000000000001</v>
      </c>
      <c r="H105" vm="1116">
        <f ca="1"/>
        <v>226.5</v>
      </c>
      <c r="I105" vm="1117">
        <f ca="1"/>
        <v>154.54</v>
      </c>
      <c r="J105" vm="1118">
        <f ca="1"/>
        <v>207.52</v>
      </c>
      <c r="K105" vm="1119">
        <f ca="1"/>
        <v>122.77</v>
      </c>
    </row>
    <row r="106" spans="1:11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 vm="1124">
        <f ca="1"/>
        <v>39.326999999999998</v>
      </c>
      <c r="G106" vm="1125">
        <f ca="1"/>
        <v>140.47</v>
      </c>
      <c r="H106" vm="1126">
        <f ca="1"/>
        <v>228.79</v>
      </c>
      <c r="I106" vm="1127">
        <f ca="1"/>
        <v>156.97</v>
      </c>
      <c r="J106" vm="1128">
        <f ca="1"/>
        <v>213.97</v>
      </c>
      <c r="K106" vm="1129">
        <f ca="1"/>
        <v>124.25</v>
      </c>
    </row>
    <row r="107" spans="1:11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 vm="1135">
        <f ca="1"/>
        <v>39.170999999999999</v>
      </c>
      <c r="G107" vm="1136">
        <f ca="1"/>
        <v>139.09</v>
      </c>
      <c r="H107" vm="1137">
        <f ca="1"/>
        <v>226.77</v>
      </c>
      <c r="I107" vm="1138">
        <f ca="1"/>
        <v>158.32</v>
      </c>
      <c r="J107" vm="1139">
        <f ca="1"/>
        <v>217.61</v>
      </c>
      <c r="K107" vm="1140">
        <f ca="1"/>
        <v>125.3</v>
      </c>
    </row>
    <row r="108" spans="1:11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 vm="1146">
        <f ca="1"/>
        <v>38.654000000000003</v>
      </c>
      <c r="G108" vm="1147">
        <f ca="1"/>
        <v>139.34</v>
      </c>
      <c r="H108" vm="1148">
        <f ca="1"/>
        <v>228.22</v>
      </c>
      <c r="I108" vm="1149">
        <f ca="1"/>
        <v>158.18</v>
      </c>
      <c r="J108" vm="1150">
        <f ca="1"/>
        <v>221.31</v>
      </c>
      <c r="K108" vm="1151">
        <f ca="1"/>
        <v>126.61</v>
      </c>
    </row>
    <row r="109" spans="1:11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 vm="1157">
        <f ca="1"/>
        <v>37.475000000000001</v>
      </c>
      <c r="G109" vm="1158">
        <f ca="1"/>
        <v>140.69</v>
      </c>
      <c r="H109" vm="1159">
        <f ca="1"/>
        <v>225.27</v>
      </c>
      <c r="I109" vm="1160">
        <f ca="1"/>
        <v>158.52000000000001</v>
      </c>
      <c r="J109" vm="1161">
        <f ca="1"/>
        <v>224.57</v>
      </c>
      <c r="K109" vm="1162">
        <f ca="1"/>
        <v>121.23</v>
      </c>
    </row>
    <row r="110" spans="1:11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 vm="1168">
        <f ca="1"/>
        <v>38.51</v>
      </c>
      <c r="G110" vm="829">
        <f ca="1"/>
        <v>140.72999999999999</v>
      </c>
      <c r="H110" vm="1169">
        <f ca="1"/>
        <v>223.05</v>
      </c>
      <c r="I110" vm="1170">
        <f ca="1"/>
        <v>160.26</v>
      </c>
      <c r="J110" vm="1171">
        <f ca="1"/>
        <v>234.86</v>
      </c>
      <c r="K110" vm="1129">
        <f ca="1"/>
        <v>124.25</v>
      </c>
    </row>
    <row r="111" spans="1:11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 vm="1177">
        <f ca="1"/>
        <v>38.770000000000003</v>
      </c>
      <c r="G111" vm="1178">
        <f ca="1"/>
        <v>141.01</v>
      </c>
      <c r="H111" vm="355">
        <f ca="1"/>
        <v>223.56</v>
      </c>
      <c r="I111" vm="1179">
        <f ca="1"/>
        <v>160.01</v>
      </c>
      <c r="J111" vm="1180">
        <f ca="1"/>
        <v>244.4</v>
      </c>
      <c r="K111" vm="1181">
        <f ca="1"/>
        <v>123.43</v>
      </c>
    </row>
    <row r="112" spans="1:11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 vm="1187">
        <f ca="1"/>
        <v>39.481999999999999</v>
      </c>
      <c r="G112" vm="1188">
        <f ca="1"/>
        <v>141</v>
      </c>
      <c r="H112" vm="1189">
        <f ca="1"/>
        <v>226.17</v>
      </c>
      <c r="I112" vm="1190">
        <f ca="1"/>
        <v>159.9</v>
      </c>
      <c r="J112" vm="1191">
        <f ca="1"/>
        <v>249.83</v>
      </c>
      <c r="K112" vm="1192">
        <f ca="1"/>
        <v>126.57</v>
      </c>
    </row>
    <row r="113" spans="1:11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 vm="1197">
        <f ca="1"/>
        <v>41.021999999999998</v>
      </c>
      <c r="G113" vm="1198">
        <f ca="1"/>
        <v>142.02000000000001</v>
      </c>
      <c r="H113" vm="1199">
        <f ca="1"/>
        <v>223.4</v>
      </c>
      <c r="I113" vm="1200">
        <f ca="1"/>
        <v>160.74</v>
      </c>
      <c r="J113" vm="1201">
        <f ca="1"/>
        <v>258.70999999999998</v>
      </c>
      <c r="K113" vm="1202">
        <f ca="1"/>
        <v>126.66</v>
      </c>
    </row>
    <row r="114" spans="1:11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 vm="1207">
        <f ca="1"/>
        <v>42.997</v>
      </c>
      <c r="G114" vm="1208">
        <f ca="1"/>
        <v>141.49</v>
      </c>
      <c r="H114" vm="1209">
        <f ca="1"/>
        <v>223.44</v>
      </c>
      <c r="I114" vm="1210">
        <f ca="1"/>
        <v>161.56</v>
      </c>
      <c r="J114" vm="1211">
        <f ca="1"/>
        <v>256.79000000000002</v>
      </c>
      <c r="K114" vm="1212">
        <f ca="1"/>
        <v>126.42</v>
      </c>
    </row>
    <row r="115" spans="1:11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 vm="1218">
        <f ca="1"/>
        <v>42.652999999999999</v>
      </c>
      <c r="G115" vm="1219">
        <f ca="1"/>
        <v>143.09</v>
      </c>
      <c r="H115" vm="1189">
        <f ca="1"/>
        <v>226.17</v>
      </c>
      <c r="I115" vm="1220">
        <f ca="1"/>
        <v>163.72999999999999</v>
      </c>
      <c r="J115" vm="1221">
        <f ca="1"/>
        <v>255.9</v>
      </c>
      <c r="K115" vm="1222">
        <f ca="1"/>
        <v>127.11</v>
      </c>
    </row>
    <row r="116" spans="1:11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 vm="1228">
        <f ca="1"/>
        <v>42.692</v>
      </c>
      <c r="G116" vm="1229">
        <f ca="1"/>
        <v>143.26</v>
      </c>
      <c r="H116" vm="1230">
        <f ca="1"/>
        <v>228.91</v>
      </c>
      <c r="I116" vm="1231">
        <f ca="1"/>
        <v>164.23</v>
      </c>
      <c r="J116" vm="1232">
        <f ca="1"/>
        <v>260.54000000000002</v>
      </c>
      <c r="K116" vm="1233">
        <f ca="1"/>
        <v>125.49</v>
      </c>
    </row>
    <row r="117" spans="1:11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 vm="1239">
        <f ca="1"/>
        <v>43.808</v>
      </c>
      <c r="G117" vm="156">
        <f ca="1"/>
        <v>142.53</v>
      </c>
      <c r="H117" vm="1240">
        <f ca="1"/>
        <v>226.47</v>
      </c>
      <c r="I117" vm="1241">
        <f ca="1"/>
        <v>164.13</v>
      </c>
      <c r="J117" vm="1242">
        <f ca="1"/>
        <v>274.45</v>
      </c>
      <c r="K117" vm="1243">
        <f ca="1"/>
        <v>125.78</v>
      </c>
    </row>
    <row r="118" spans="1:11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 vm="1249">
        <f ca="1"/>
        <v>43.045000000000002</v>
      </c>
      <c r="G118" vm="1250">
        <f ca="1"/>
        <v>142.32</v>
      </c>
      <c r="H118" vm="1251">
        <f ca="1"/>
        <v>227.25</v>
      </c>
      <c r="I118" vm="1252">
        <f ca="1"/>
        <v>163.88</v>
      </c>
      <c r="J118" vm="1253">
        <f ca="1"/>
        <v>259.45999999999998</v>
      </c>
      <c r="K118" vm="1254">
        <f ca="1"/>
        <v>124.83</v>
      </c>
    </row>
    <row r="119" spans="1:11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 vm="1260">
        <f ca="1"/>
        <v>43.024999999999999</v>
      </c>
      <c r="G119" vm="1261">
        <f ca="1"/>
        <v>139.58000000000001</v>
      </c>
      <c r="H119" vm="1262">
        <f ca="1"/>
        <v>228.39</v>
      </c>
      <c r="I119" vm="1263">
        <f ca="1"/>
        <v>165.62</v>
      </c>
      <c r="J119" vm="1264">
        <f ca="1"/>
        <v>264.61</v>
      </c>
      <c r="K119" vm="46">
        <f ca="1"/>
        <v>130.15</v>
      </c>
    </row>
    <row r="120" spans="1:11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 vm="1270">
        <f ca="1"/>
        <v>42.209000000000003</v>
      </c>
      <c r="G120" vm="1271">
        <f ca="1"/>
        <v>138.85</v>
      </c>
      <c r="H120" vm="1272">
        <f ca="1"/>
        <v>229.55</v>
      </c>
      <c r="I120" vm="1273">
        <f ca="1"/>
        <v>165.48</v>
      </c>
      <c r="J120" vm="1274">
        <f ca="1"/>
        <v>256.60000000000002</v>
      </c>
      <c r="K120" vm="1275">
        <f ca="1"/>
        <v>129.33000000000001</v>
      </c>
    </row>
    <row r="121" spans="1:11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 vm="1281">
        <f ca="1"/>
        <v>40.631999999999998</v>
      </c>
      <c r="G121" vm="1282">
        <f ca="1"/>
        <v>139.19</v>
      </c>
      <c r="H121" vm="1283">
        <f ca="1"/>
        <v>226.3</v>
      </c>
      <c r="I121" vm="1284">
        <f ca="1"/>
        <v>163.63</v>
      </c>
      <c r="J121" vm="1285">
        <f ca="1"/>
        <v>241.05</v>
      </c>
      <c r="K121" vm="1286">
        <f ca="1"/>
        <v>127.33</v>
      </c>
    </row>
    <row r="122" spans="1:11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 vm="1292">
        <f ca="1"/>
        <v>41.875999999999998</v>
      </c>
      <c r="G122" vm="1293">
        <f ca="1"/>
        <v>139.19999999999999</v>
      </c>
      <c r="H122" vm="1294">
        <f ca="1"/>
        <v>227.34</v>
      </c>
      <c r="I122" vm="1295">
        <f ca="1"/>
        <v>163.29</v>
      </c>
      <c r="J122" vm="1296">
        <f ca="1"/>
        <v>250.21</v>
      </c>
      <c r="K122" vm="1297">
        <f ca="1"/>
        <v>129.18</v>
      </c>
    </row>
    <row r="123" spans="1:11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 vm="1303">
        <f ca="1"/>
        <v>41.116999999999997</v>
      </c>
      <c r="G123" vm="1304">
        <f ca="1"/>
        <v>138.59</v>
      </c>
      <c r="H123" vm="1305">
        <f ca="1"/>
        <v>227.96</v>
      </c>
      <c r="I123" vm="1306">
        <f ca="1"/>
        <v>162.96</v>
      </c>
      <c r="J123" vm="1307">
        <f ca="1"/>
        <v>256.24</v>
      </c>
      <c r="K123" vm="1308">
        <f ca="1"/>
        <v>129.04</v>
      </c>
    </row>
    <row r="124" spans="1:11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 vm="1314">
        <f ca="1"/>
        <v>40.822000000000003</v>
      </c>
      <c r="G124" vm="1315">
        <f ca="1"/>
        <v>143.43</v>
      </c>
      <c r="H124" vm="1316">
        <f ca="1"/>
        <v>234.32</v>
      </c>
      <c r="I124" vm="1317">
        <f ca="1"/>
        <v>164.1</v>
      </c>
      <c r="J124" vm="1318">
        <f ca="1"/>
        <v>257.5</v>
      </c>
      <c r="K124" vm="1319">
        <f ca="1"/>
        <v>127.9</v>
      </c>
    </row>
    <row r="125" spans="1:11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 vm="1325">
        <f ca="1"/>
        <v>42.302</v>
      </c>
      <c r="G125" vm="1326">
        <f ca="1"/>
        <v>145.44</v>
      </c>
      <c r="H125" vm="1327">
        <f ca="1"/>
        <v>237.48</v>
      </c>
      <c r="I125" vm="1328">
        <f ca="1"/>
        <v>165.52</v>
      </c>
      <c r="J125" vm="1329">
        <f ca="1"/>
        <v>261.77</v>
      </c>
      <c r="K125" vm="1330">
        <f ca="1"/>
        <v>130.36000000000001</v>
      </c>
    </row>
    <row r="126" spans="1:11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 vm="1336">
        <f ca="1"/>
        <v>42.412999999999997</v>
      </c>
      <c r="G126" vm="1337">
        <f ca="1"/>
        <v>146.61000000000001</v>
      </c>
      <c r="H126" vm="1338">
        <f ca="1"/>
        <v>237.97</v>
      </c>
      <c r="I126" vm="1339">
        <f ca="1"/>
        <v>163.35</v>
      </c>
      <c r="J126" vm="1340">
        <f ca="1"/>
        <v>279.82</v>
      </c>
      <c r="K126" vm="1341">
        <f ca="1"/>
        <v>130.22</v>
      </c>
    </row>
    <row r="127" spans="1:11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 vm="1347">
        <f ca="1"/>
        <v>42.317</v>
      </c>
      <c r="G127" vm="1348">
        <f ca="1"/>
        <v>144.63999999999999</v>
      </c>
      <c r="H127" vm="1349">
        <f ca="1"/>
        <v>239.45</v>
      </c>
      <c r="I127" vm="1350">
        <f ca="1"/>
        <v>162.81</v>
      </c>
      <c r="J127" vm="1351">
        <f ca="1"/>
        <v>282.48</v>
      </c>
      <c r="K127" vm="1352">
        <f ca="1"/>
        <v>130.38</v>
      </c>
    </row>
    <row r="128" spans="1:11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 vm="1356">
        <f ca="1"/>
        <v>42.103000000000002</v>
      </c>
      <c r="G128" vm="1357">
        <f ca="1"/>
        <v>143.21</v>
      </c>
      <c r="H128" vm="1358">
        <f ca="1"/>
        <v>238.88</v>
      </c>
      <c r="I128" vm="1359">
        <f ca="1"/>
        <v>161.6</v>
      </c>
      <c r="J128" vm="1360">
        <f ca="1"/>
        <v>276.54000000000002</v>
      </c>
      <c r="K128" vm="1361">
        <f ca="1"/>
        <v>128.36000000000001</v>
      </c>
    </row>
    <row r="129" spans="1:11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 vm="1367">
        <f ca="1"/>
        <v>42.503</v>
      </c>
      <c r="G129" vm="1368">
        <f ca="1"/>
        <v>144.34</v>
      </c>
      <c r="H129" vm="1369">
        <f ca="1"/>
        <v>236.45</v>
      </c>
      <c r="I129" vm="1370">
        <f ca="1"/>
        <v>159.25</v>
      </c>
      <c r="J129" vm="1371">
        <f ca="1"/>
        <v>274.43</v>
      </c>
      <c r="K129" vm="1372">
        <f ca="1"/>
        <v>129.78</v>
      </c>
    </row>
    <row r="130" spans="1:11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 vm="1378">
        <f ca="1"/>
        <v>42.18</v>
      </c>
      <c r="G130" vm="1379">
        <f ca="1"/>
        <v>145.15</v>
      </c>
      <c r="H130" vm="1380">
        <f ca="1"/>
        <v>238.16</v>
      </c>
      <c r="I130" vm="1381">
        <f ca="1"/>
        <v>159.51</v>
      </c>
      <c r="J130" vm="1382">
        <f ca="1"/>
        <v>269.61</v>
      </c>
      <c r="K130" vm="1383">
        <f ca="1"/>
        <v>127.13</v>
      </c>
    </row>
    <row r="131" spans="1:11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 vm="1389">
        <f ca="1"/>
        <v>42.405000000000001</v>
      </c>
      <c r="G131" vm="1390">
        <f ca="1"/>
        <v>147.41999999999999</v>
      </c>
      <c r="H131" vm="1391">
        <f ca="1"/>
        <v>240.55</v>
      </c>
      <c r="I131" vm="1392">
        <f ca="1"/>
        <v>158.63</v>
      </c>
      <c r="J131" vm="1393">
        <f ca="1"/>
        <v>269.79000000000002</v>
      </c>
      <c r="K131" vm="120">
        <f ca="1"/>
        <v>128.78</v>
      </c>
    </row>
    <row r="132" spans="1:11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 vm="1399">
        <f ca="1"/>
        <v>43.902000000000001</v>
      </c>
      <c r="G132" vm="1400">
        <f ca="1"/>
        <v>148.15</v>
      </c>
      <c r="H132" vm="1401">
        <f ca="1"/>
        <v>242.21</v>
      </c>
      <c r="I132" vm="1402">
        <f ca="1"/>
        <v>158.08000000000001</v>
      </c>
      <c r="J132" vm="1403">
        <f ca="1"/>
        <v>271.99</v>
      </c>
      <c r="K132" vm="1404">
        <f ca="1"/>
        <v>130.80000000000001</v>
      </c>
    </row>
    <row r="133" spans="1:11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 vm="1410">
        <f ca="1"/>
        <v>45.976999999999997</v>
      </c>
      <c r="G133" vm="1411">
        <f ca="1"/>
        <v>148.87</v>
      </c>
      <c r="H133" vm="1412">
        <f ca="1"/>
        <v>243.31</v>
      </c>
      <c r="I133" vm="1413">
        <f ca="1"/>
        <v>158.81</v>
      </c>
      <c r="J133" vm="1414">
        <f ca="1"/>
        <v>277.89999999999998</v>
      </c>
      <c r="K133" vm="1415">
        <f ca="1"/>
        <v>134.30000000000001</v>
      </c>
    </row>
    <row r="134" spans="1:11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 vm="1421">
        <f ca="1"/>
        <v>45.469000000000001</v>
      </c>
      <c r="G134" vm="1422">
        <f ca="1"/>
        <v>149.77000000000001</v>
      </c>
      <c r="H134" vm="1423">
        <f ca="1"/>
        <v>243.16</v>
      </c>
      <c r="I134" vm="1424">
        <f ca="1"/>
        <v>159.87</v>
      </c>
      <c r="J134" vm="1425">
        <f ca="1"/>
        <v>281.38</v>
      </c>
      <c r="K134" vm="1426">
        <f ca="1"/>
        <v>134.68</v>
      </c>
    </row>
    <row r="135" spans="1:11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 vm="1432">
        <f ca="1"/>
        <v>46.460999999999999</v>
      </c>
      <c r="G135" vm="1433">
        <f ca="1"/>
        <v>153.38</v>
      </c>
      <c r="H135" vm="1434">
        <f ca="1"/>
        <v>243.99</v>
      </c>
      <c r="I135" vm="1435">
        <f ca="1"/>
        <v>159.07</v>
      </c>
      <c r="J135" vm="1436">
        <f ca="1"/>
        <v>290.38</v>
      </c>
      <c r="K135" vm="1437">
        <f ca="1"/>
        <v>133.56</v>
      </c>
    </row>
    <row r="136" spans="1:11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 vm="1443">
        <f ca="1"/>
        <v>47.494</v>
      </c>
      <c r="G136" vm="1444">
        <f ca="1"/>
        <v>153.66</v>
      </c>
      <c r="H136" vm="1445">
        <f ca="1"/>
        <v>240.77</v>
      </c>
      <c r="I136" vm="1446">
        <f ca="1"/>
        <v>159.06</v>
      </c>
      <c r="J136" vm="1447">
        <f ca="1"/>
        <v>293.33999999999997</v>
      </c>
      <c r="K136" vm="1448">
        <f ca="1"/>
        <v>132.83000000000001</v>
      </c>
    </row>
    <row r="137" spans="1:11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 vm="1454">
        <f ca="1"/>
        <v>47.076999999999998</v>
      </c>
      <c r="G137" vm="1455">
        <f ca="1"/>
        <v>154.25</v>
      </c>
      <c r="H137" vm="1456">
        <f ca="1"/>
        <v>241.42</v>
      </c>
      <c r="I137" vm="1457">
        <f ca="1"/>
        <v>158.74</v>
      </c>
      <c r="J137" vm="1458">
        <f ca="1"/>
        <v>291.26</v>
      </c>
      <c r="K137" vm="104">
        <f ca="1"/>
        <v>135.36000000000001</v>
      </c>
    </row>
    <row r="138" spans="1:11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 vm="1464">
        <f ca="1"/>
        <v>45.52</v>
      </c>
      <c r="G138" vm="1465">
        <f ca="1"/>
        <v>156.15</v>
      </c>
      <c r="H138" vm="1466">
        <f ca="1"/>
        <v>239.62</v>
      </c>
      <c r="I138" vm="1467">
        <f ca="1"/>
        <v>168.38</v>
      </c>
      <c r="J138" vm="1468">
        <f ca="1"/>
        <v>262.89999999999998</v>
      </c>
      <c r="K138" vm="1469">
        <f ca="1"/>
        <v>129.96</v>
      </c>
    </row>
    <row r="139" spans="1:11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 vm="1475">
        <f ca="1"/>
        <v>44.308999999999997</v>
      </c>
      <c r="G139" vm="1476">
        <f ca="1"/>
        <v>154.94999999999999</v>
      </c>
      <c r="H139" vm="1477">
        <f ca="1"/>
        <v>239.25</v>
      </c>
      <c r="I139" vm="1478">
        <f ca="1"/>
        <v>170.19</v>
      </c>
      <c r="J139" vm="1479">
        <f ca="1"/>
        <v>260.02</v>
      </c>
      <c r="K139" vm="1480">
        <f ca="1"/>
        <v>130</v>
      </c>
    </row>
    <row r="140" spans="1:11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 vm="1486">
        <f ca="1"/>
        <v>44.612000000000002</v>
      </c>
      <c r="G140" vm="366">
        <f ca="1"/>
        <v>158</v>
      </c>
      <c r="H140" vm="1487">
        <f ca="1"/>
        <v>240.74</v>
      </c>
      <c r="I140" vm="1488">
        <f ca="1"/>
        <v>171.08</v>
      </c>
      <c r="J140" vm="1489">
        <f ca="1"/>
        <v>269.06</v>
      </c>
      <c r="K140" vm="1490">
        <f ca="1"/>
        <v>128.80000000000001</v>
      </c>
    </row>
    <row r="141" spans="1:11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 vm="1496">
        <f ca="1"/>
        <v>45.679000000000002</v>
      </c>
      <c r="G141" vm="1497">
        <f ca="1"/>
        <v>156.82</v>
      </c>
      <c r="H141" vm="1498">
        <f ca="1"/>
        <v>238.69</v>
      </c>
      <c r="I141" vm="1499">
        <f ca="1"/>
        <v>172.39</v>
      </c>
      <c r="J141" vm="1500">
        <f ca="1"/>
        <v>265.27999999999997</v>
      </c>
      <c r="K141" vm="1501">
        <f ca="1"/>
        <v>129.13</v>
      </c>
    </row>
    <row r="142" spans="1:11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 vm="1507">
        <f ca="1"/>
        <v>45.451999999999998</v>
      </c>
      <c r="G142" vm="1508">
        <f ca="1"/>
        <v>157.76</v>
      </c>
      <c r="H142" vm="1509">
        <f ca="1"/>
        <v>237.1</v>
      </c>
      <c r="I142" vm="1510">
        <f ca="1"/>
        <v>172.72</v>
      </c>
      <c r="J142" vm="1511">
        <f ca="1"/>
        <v>264.35000000000002</v>
      </c>
      <c r="K142" vm="1512">
        <f ca="1"/>
        <v>128.15</v>
      </c>
    </row>
    <row r="143" spans="1:11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 vm="1518">
        <f ca="1"/>
        <v>45.9</v>
      </c>
      <c r="G143" vm="1519">
        <f ca="1"/>
        <v>156.02000000000001</v>
      </c>
      <c r="H143" vm="1520">
        <f ca="1"/>
        <v>234.44</v>
      </c>
      <c r="I143" vm="1521">
        <f ca="1"/>
        <v>173.69</v>
      </c>
      <c r="J143" vm="1522">
        <f ca="1"/>
        <v>255.71</v>
      </c>
      <c r="K143" vm="1523">
        <f ca="1"/>
        <v>128.25</v>
      </c>
    </row>
    <row r="144" spans="1:11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 vm="1529">
        <f ca="1"/>
        <v>46.75</v>
      </c>
      <c r="G144" vm="1530">
        <f ca="1"/>
        <v>156.91</v>
      </c>
      <c r="H144" vm="1531">
        <f ca="1"/>
        <v>235.75</v>
      </c>
      <c r="I144" vm="520">
        <f ca="1"/>
        <v>174.48</v>
      </c>
      <c r="J144" vm="1532">
        <f ca="1"/>
        <v>266.44</v>
      </c>
      <c r="K144" vm="1533">
        <f ca="1"/>
        <v>132.21</v>
      </c>
    </row>
    <row r="145" spans="1:11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 vm="1539">
        <f ca="1"/>
        <v>46.728999999999999</v>
      </c>
      <c r="G145" vm="1540">
        <f ca="1"/>
        <v>157.96</v>
      </c>
      <c r="H145" vm="1541">
        <f ca="1"/>
        <v>237.73</v>
      </c>
      <c r="I145" vm="1542">
        <f ca="1"/>
        <v>167.53</v>
      </c>
      <c r="J145" vm="1543">
        <f ca="1"/>
        <v>267.43</v>
      </c>
      <c r="K145" vm="1544">
        <f ca="1"/>
        <v>133.68</v>
      </c>
    </row>
    <row r="146" spans="1:11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 vm="1550">
        <f ca="1"/>
        <v>46.506999999999998</v>
      </c>
      <c r="G146" vm="1551">
        <f ca="1"/>
        <v>157.18</v>
      </c>
      <c r="H146" vm="1552">
        <f ca="1"/>
        <v>239.78</v>
      </c>
      <c r="I146" vm="183">
        <f ca="1"/>
        <v>168.89</v>
      </c>
      <c r="J146" vm="1553">
        <f ca="1"/>
        <v>261.07</v>
      </c>
      <c r="K146" vm="1554">
        <f ca="1"/>
        <v>131.69</v>
      </c>
    </row>
    <row r="147" spans="1:11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 vm="1559">
        <f ca="1"/>
        <v>44.268999999999998</v>
      </c>
      <c r="G147" vm="1560">
        <f ca="1"/>
        <v>155.4</v>
      </c>
      <c r="H147" vm="1561">
        <f ca="1"/>
        <v>237.56</v>
      </c>
      <c r="I147" vm="1562">
        <f ca="1"/>
        <v>169.91</v>
      </c>
      <c r="J147" vm="1563">
        <f ca="1"/>
        <v>254.11</v>
      </c>
      <c r="K147" vm="1564">
        <f ca="1"/>
        <v>128.21</v>
      </c>
    </row>
    <row r="148" spans="1:11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 vm="1570">
        <f ca="1"/>
        <v>44.515000000000001</v>
      </c>
      <c r="G148" vm="1571">
        <f ca="1"/>
        <v>156.35</v>
      </c>
      <c r="H148" vm="1572">
        <f ca="1"/>
        <v>238.76</v>
      </c>
      <c r="I148" vm="1573">
        <f ca="1"/>
        <v>170.64</v>
      </c>
      <c r="J148" vm="1574">
        <f ca="1"/>
        <v>259.32</v>
      </c>
      <c r="K148" vm="1575">
        <f ca="1"/>
        <v>128.91</v>
      </c>
    </row>
    <row r="149" spans="1:11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 vm="1581">
        <f ca="1"/>
        <v>44.68</v>
      </c>
      <c r="G149" vm="1519">
        <f ca="1"/>
        <v>156.02000000000001</v>
      </c>
      <c r="H149" vm="1582">
        <f ca="1"/>
        <v>238.99</v>
      </c>
      <c r="I149" vm="1583">
        <f ca="1"/>
        <v>169.04</v>
      </c>
      <c r="J149" vm="1584">
        <f ca="1"/>
        <v>253.86</v>
      </c>
      <c r="K149" vm="1585">
        <f ca="1"/>
        <v>139.57</v>
      </c>
    </row>
    <row r="150" spans="1:11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 vm="1591">
        <f ca="1"/>
        <v>45.416499999999999</v>
      </c>
      <c r="G150" vm="1592">
        <f ca="1"/>
        <v>156.76</v>
      </c>
      <c r="H150" vm="1593">
        <f ca="1"/>
        <v>241.51</v>
      </c>
      <c r="I150" vm="1594">
        <f ca="1"/>
        <v>173.1</v>
      </c>
      <c r="J150" vm="1595">
        <f ca="1"/>
        <v>251.45</v>
      </c>
      <c r="K150" vm="1596">
        <f ca="1"/>
        <v>142.22</v>
      </c>
    </row>
    <row r="151" spans="1:11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 vm="1602">
        <f ca="1"/>
        <v>44.664000000000001</v>
      </c>
      <c r="G151" vm="1603">
        <f ca="1"/>
        <v>155.88</v>
      </c>
      <c r="H151" vm="1604">
        <f ca="1"/>
        <v>239.29</v>
      </c>
      <c r="I151" vm="1605">
        <f ca="1"/>
        <v>173.18</v>
      </c>
      <c r="J151" vm="1606">
        <f ca="1"/>
        <v>249.7</v>
      </c>
      <c r="K151" vm="1607">
        <f ca="1"/>
        <v>139.94</v>
      </c>
    </row>
    <row r="152" spans="1:11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 vm="1612">
        <f ca="1"/>
        <v>42.554000000000002</v>
      </c>
      <c r="G152" vm="1613">
        <f ca="1"/>
        <v>153.79</v>
      </c>
      <c r="H152" vm="1614">
        <f ca="1"/>
        <v>239.76</v>
      </c>
      <c r="I152" vm="1615">
        <f ca="1"/>
        <v>173.07</v>
      </c>
      <c r="J152" vm="1616">
        <f ca="1"/>
        <v>242.19</v>
      </c>
      <c r="K152" vm="1617">
        <f ca="1"/>
        <v>137.85</v>
      </c>
    </row>
    <row r="153" spans="1:11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 vm="1623">
        <f ca="1"/>
        <v>42.387999999999998</v>
      </c>
      <c r="G153" vm="1624">
        <f ca="1"/>
        <v>153.56</v>
      </c>
      <c r="H153" vm="1625">
        <f ca="1"/>
        <v>240.16</v>
      </c>
      <c r="I153" vm="1626">
        <f ca="1"/>
        <v>172.17</v>
      </c>
      <c r="J153" vm="1627">
        <f ca="1"/>
        <v>245.34</v>
      </c>
      <c r="K153" vm="375">
        <f ca="1"/>
        <v>138.56</v>
      </c>
    </row>
    <row r="154" spans="1:11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 vm="1633">
        <f ca="1"/>
        <v>40.854999999999997</v>
      </c>
      <c r="G154" vm="1634">
        <f ca="1"/>
        <v>154.44999999999999</v>
      </c>
      <c r="H154" vm="1635">
        <f ca="1"/>
        <v>240.04</v>
      </c>
      <c r="I154" vm="1636">
        <f ca="1"/>
        <v>173.85</v>
      </c>
      <c r="J154" vm="1637">
        <f ca="1"/>
        <v>242.65</v>
      </c>
      <c r="K154" vm="1638">
        <f ca="1"/>
        <v>138.41</v>
      </c>
    </row>
    <row r="155" spans="1:11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 vm="1644">
        <f ca="1"/>
        <v>43.753</v>
      </c>
      <c r="G155" vm="1645">
        <f ca="1"/>
        <v>154.77000000000001</v>
      </c>
      <c r="H155" vm="1646">
        <f ca="1"/>
        <v>242.9</v>
      </c>
      <c r="I155" vm="509">
        <f ca="1"/>
        <v>173.44</v>
      </c>
      <c r="J155" vm="1614">
        <f ca="1"/>
        <v>239.76</v>
      </c>
      <c r="K155" vm="1647">
        <f ca="1"/>
        <v>140.57</v>
      </c>
    </row>
    <row r="156" spans="1:11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 vm="1652">
        <f ca="1"/>
        <v>43.94</v>
      </c>
      <c r="G156" vm="1653">
        <f ca="1"/>
        <v>150.83000000000001</v>
      </c>
      <c r="H156" vm="1654">
        <f ca="1"/>
        <v>239.83</v>
      </c>
      <c r="I156" vm="1655">
        <f ca="1"/>
        <v>172.94</v>
      </c>
      <c r="J156" vm="1656">
        <f ca="1"/>
        <v>232.96</v>
      </c>
      <c r="K156" vm="840">
        <f ca="1"/>
        <v>137.66999999999999</v>
      </c>
    </row>
    <row r="157" spans="1:11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 vm="1662">
        <f ca="1"/>
        <v>43.485999999999997</v>
      </c>
      <c r="G157" vm="1663">
        <f ca="1"/>
        <v>150.19</v>
      </c>
      <c r="H157" vm="1604">
        <f ca="1"/>
        <v>239.29</v>
      </c>
      <c r="I157" vm="1499">
        <f ca="1"/>
        <v>172.39</v>
      </c>
      <c r="J157" vm="915">
        <f ca="1"/>
        <v>225.6</v>
      </c>
      <c r="K157" vm="1664">
        <f ca="1"/>
        <v>135.07</v>
      </c>
    </row>
    <row r="158" spans="1:11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 vm="1669">
        <f ca="1"/>
        <v>43.343499999999999</v>
      </c>
      <c r="G158" vm="1670">
        <f ca="1"/>
        <v>148.63</v>
      </c>
      <c r="H158" vm="1671">
        <f ca="1"/>
        <v>237.37</v>
      </c>
      <c r="I158" vm="1672">
        <f ca="1"/>
        <v>174.01</v>
      </c>
      <c r="J158" vm="1673">
        <f ca="1"/>
        <v>219.22</v>
      </c>
      <c r="K158" vm="1674">
        <f ca="1"/>
        <v>133.97999999999999</v>
      </c>
    </row>
    <row r="159" spans="1:11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 vm="1680">
        <f ca="1"/>
        <v>43.298999999999999</v>
      </c>
      <c r="G159" vm="211">
        <f ca="1"/>
        <v>148.97</v>
      </c>
      <c r="H159" vm="1681">
        <f ca="1"/>
        <v>238.17</v>
      </c>
      <c r="I159" vm="1682">
        <f ca="1"/>
        <v>172.49</v>
      </c>
      <c r="J159" vm="1683">
        <f ca="1"/>
        <v>215.49</v>
      </c>
      <c r="K159" vm="1684">
        <f ca="1"/>
        <v>133.22</v>
      </c>
    </row>
    <row r="160" spans="1:11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 vm="1690">
        <f ca="1"/>
        <v>46.966999999999999</v>
      </c>
      <c r="G160" vm="1691">
        <f ca="1"/>
        <v>149.47999999999999</v>
      </c>
      <c r="H160" vm="1692">
        <f ca="1"/>
        <v>239.46</v>
      </c>
      <c r="I160" vm="1693">
        <f ca="1"/>
        <v>167.35</v>
      </c>
      <c r="J160" vm="1040">
        <f ca="1"/>
        <v>231.28</v>
      </c>
      <c r="K160" vm="1426">
        <f ca="1"/>
        <v>134.68</v>
      </c>
    </row>
    <row r="161" spans="1:11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 vm="1699">
        <f ca="1"/>
        <v>45.667999999999999</v>
      </c>
      <c r="G161" vm="1700">
        <f ca="1"/>
        <v>146.38</v>
      </c>
      <c r="H161" vm="1701">
        <f ca="1"/>
        <v>240.57</v>
      </c>
      <c r="I161" vm="1702">
        <f ca="1"/>
        <v>166.02</v>
      </c>
      <c r="J161" vm="1703">
        <f ca="1"/>
        <v>233.19</v>
      </c>
      <c r="K161" vm="1704">
        <f ca="1"/>
        <v>134.25</v>
      </c>
    </row>
    <row r="162" spans="1:11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 vm="1710">
        <f ca="1"/>
        <v>47.116</v>
      </c>
      <c r="G162" vm="1711">
        <f ca="1"/>
        <v>147.37</v>
      </c>
      <c r="H162" vm="1712">
        <f ca="1"/>
        <v>242.3</v>
      </c>
      <c r="I162" vm="1713">
        <f ca="1"/>
        <v>164.53</v>
      </c>
      <c r="J162" vm="1714">
        <f ca="1"/>
        <v>236.86</v>
      </c>
      <c r="K162" vm="1715">
        <f ca="1"/>
        <v>135.52000000000001</v>
      </c>
    </row>
    <row r="163" spans="1:11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 vm="1720">
        <f ca="1"/>
        <v>47.162999999999997</v>
      </c>
      <c r="G163" vm="1721">
        <f ca="1"/>
        <v>147.22999999999999</v>
      </c>
      <c r="H163" vm="1722">
        <f ca="1"/>
        <v>239.47</v>
      </c>
      <c r="I163" vm="1723">
        <f ca="1"/>
        <v>165.09</v>
      </c>
      <c r="J163" vm="1724">
        <f ca="1"/>
        <v>230.04</v>
      </c>
      <c r="K163" vm="1725">
        <f ca="1"/>
        <v>131.84</v>
      </c>
    </row>
    <row r="164" spans="1:11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 vm="1731">
        <f ca="1"/>
        <v>46.018000000000001</v>
      </c>
      <c r="G164" vm="1732">
        <f ca="1"/>
        <v>147.05000000000001</v>
      </c>
      <c r="H164" vm="1733">
        <f ca="1"/>
        <v>242.57</v>
      </c>
      <c r="I164" vm="1734">
        <f ca="1"/>
        <v>166.25</v>
      </c>
      <c r="J164" vm="1735">
        <f ca="1"/>
        <v>238.59</v>
      </c>
      <c r="K164" vm="1736">
        <f ca="1"/>
        <v>133.26</v>
      </c>
    </row>
    <row r="165" spans="1:11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 vm="1742">
        <f ca="1"/>
        <v>46.835000000000001</v>
      </c>
      <c r="G165" vm="1743">
        <f ca="1"/>
        <v>147.56</v>
      </c>
      <c r="H165" vm="1744">
        <f ca="1"/>
        <v>243.83</v>
      </c>
      <c r="I165" vm="1745">
        <f ca="1"/>
        <v>164.29</v>
      </c>
      <c r="J165" vm="996">
        <f ca="1"/>
        <v>238.82</v>
      </c>
      <c r="K165" vm="1746">
        <f ca="1"/>
        <v>133.13999999999999</v>
      </c>
    </row>
    <row r="166" spans="1:11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 vm="1752">
        <f ca="1"/>
        <v>48.783999999999999</v>
      </c>
      <c r="G166" vm="1753">
        <f ca="1"/>
        <v>148.76</v>
      </c>
      <c r="H166" vm="1627">
        <f ca="1"/>
        <v>245.34</v>
      </c>
      <c r="I166" vm="875">
        <f ca="1"/>
        <v>164.31</v>
      </c>
      <c r="J166" vm="1754">
        <f ca="1"/>
        <v>257.18</v>
      </c>
      <c r="K166" vm="1755">
        <f ca="1"/>
        <v>134.91</v>
      </c>
    </row>
    <row r="167" spans="1:11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 vm="1761">
        <f ca="1"/>
        <v>49.264000000000003</v>
      </c>
      <c r="G167" vm="1762">
        <f ca="1"/>
        <v>148.16</v>
      </c>
      <c r="H167" vm="1763">
        <f ca="1"/>
        <v>246.23</v>
      </c>
      <c r="I167" vm="1220">
        <f ca="1"/>
        <v>163.72999999999999</v>
      </c>
      <c r="J167" vm="1764">
        <f ca="1"/>
        <v>256.89999999999998</v>
      </c>
      <c r="K167" vm="1664">
        <f ca="1"/>
        <v>135.07</v>
      </c>
    </row>
    <row r="168" spans="1:11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 vm="1770">
        <f ca="1"/>
        <v>49.354999999999997</v>
      </c>
      <c r="G168" vm="1771">
        <f ca="1"/>
        <v>146.33000000000001</v>
      </c>
      <c r="H168" vm="1772">
        <f ca="1"/>
        <v>245.68</v>
      </c>
      <c r="I168" vm="1773">
        <f ca="1"/>
        <v>161.68</v>
      </c>
      <c r="J168" vm="1774">
        <f ca="1"/>
        <v>258.08</v>
      </c>
      <c r="K168" vm="1775">
        <f ca="1"/>
        <v>138.01</v>
      </c>
    </row>
    <row r="169" spans="1:11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 vm="1781">
        <f ca="1"/>
        <v>48.509</v>
      </c>
      <c r="G169" vm="1782">
        <f ca="1"/>
        <v>146.82</v>
      </c>
      <c r="H169" vm="1783">
        <f ca="1"/>
        <v>248.11</v>
      </c>
      <c r="I169" vm="1784">
        <f ca="1"/>
        <v>160.47999999999999</v>
      </c>
      <c r="J169" vm="1785">
        <f ca="1"/>
        <v>245.01</v>
      </c>
      <c r="K169" vm="1786">
        <f ca="1"/>
        <v>138.12</v>
      </c>
    </row>
    <row r="170" spans="1:11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 vm="1792">
        <f ca="1"/>
        <v>48.548000000000002</v>
      </c>
      <c r="G170" vm="1793">
        <f ca="1"/>
        <v>145.19999999999999</v>
      </c>
      <c r="H170" vm="1627">
        <f ca="1"/>
        <v>245.34</v>
      </c>
      <c r="I170" vm="1794">
        <f ca="1"/>
        <v>160.68</v>
      </c>
      <c r="J170" vm="1795">
        <f ca="1"/>
        <v>256.49</v>
      </c>
      <c r="K170" vm="150">
        <f ca="1"/>
        <v>137.27000000000001</v>
      </c>
    </row>
    <row r="171" spans="1:11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 vm="1801">
        <f ca="1"/>
        <v>47.061</v>
      </c>
      <c r="G171" vm="1802">
        <f ca="1"/>
        <v>144.96</v>
      </c>
      <c r="H171" vm="1803">
        <f ca="1"/>
        <v>246.16</v>
      </c>
      <c r="I171" vm="1804">
        <f ca="1"/>
        <v>158.01</v>
      </c>
      <c r="J171" vm="1805">
        <f ca="1"/>
        <v>251.92</v>
      </c>
      <c r="K171" vm="104">
        <f ca="1"/>
        <v>135.36000000000001</v>
      </c>
    </row>
    <row r="172" spans="1:11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 vm="1811">
        <f ca="1"/>
        <v>46.241</v>
      </c>
      <c r="G172" vm="1812">
        <f ca="1"/>
        <v>143.72</v>
      </c>
      <c r="H172" vm="1813">
        <f ca="1"/>
        <v>247.14</v>
      </c>
      <c r="I172" vm="1814">
        <f ca="1"/>
        <v>160.03</v>
      </c>
      <c r="J172" vm="1815">
        <f ca="1"/>
        <v>251.49</v>
      </c>
      <c r="K172" vm="1617">
        <f ca="1"/>
        <v>137.85</v>
      </c>
    </row>
    <row r="173" spans="1:11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 vm="1820">
        <f ca="1"/>
        <v>45.572000000000003</v>
      </c>
      <c r="G173" vm="1821">
        <f ca="1"/>
        <v>143.83000000000001</v>
      </c>
      <c r="H173" vm="1822">
        <f ca="1"/>
        <v>247.29</v>
      </c>
      <c r="I173" vm="1823">
        <f ca="1"/>
        <v>160.56</v>
      </c>
      <c r="J173" vm="1824">
        <f ca="1"/>
        <v>248.5</v>
      </c>
      <c r="K173" vm="1825">
        <f ca="1"/>
        <v>138.22999999999999</v>
      </c>
    </row>
    <row r="174" spans="1:11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 vm="1831">
        <f ca="1"/>
        <v>45.177999999999997</v>
      </c>
      <c r="G174" vm="1832">
        <f ca="1"/>
        <v>144.46</v>
      </c>
      <c r="H174" vm="1833">
        <f ca="1"/>
        <v>247.22</v>
      </c>
      <c r="I174" vm="1834">
        <f ca="1"/>
        <v>162.66</v>
      </c>
      <c r="J174" vm="1835">
        <f ca="1"/>
        <v>273.58</v>
      </c>
      <c r="K174" vm="1836">
        <f ca="1"/>
        <v>143.1</v>
      </c>
    </row>
    <row r="175" spans="1:11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 vm="1841">
        <f ca="1"/>
        <v>44.87</v>
      </c>
      <c r="G175" vm="1842">
        <f ca="1"/>
        <v>146.34</v>
      </c>
      <c r="H175" vm="1843">
        <f ca="1"/>
        <v>247.3</v>
      </c>
      <c r="I175" vm="810">
        <f ca="1"/>
        <v>163.58000000000001</v>
      </c>
      <c r="J175" vm="1844">
        <f ca="1"/>
        <v>267.48</v>
      </c>
      <c r="K175" vm="1845">
        <f ca="1"/>
        <v>141.22999999999999</v>
      </c>
    </row>
    <row r="176" spans="1:11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 vm="1850">
        <f ca="1"/>
        <v>45.484999999999999</v>
      </c>
      <c r="G176" vm="1851">
        <f ca="1"/>
        <v>146.41</v>
      </c>
      <c r="H176" vm="1852">
        <f ca="1"/>
        <v>247.83</v>
      </c>
      <c r="I176" vm="1853">
        <f ca="1"/>
        <v>163.99</v>
      </c>
      <c r="J176" vm="1854">
        <f ca="1"/>
        <v>271.3</v>
      </c>
      <c r="K176" vm="1855">
        <f ca="1"/>
        <v>144.85</v>
      </c>
    </row>
    <row r="177" spans="1:11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 vm="1861">
        <f ca="1"/>
        <v>45.581000000000003</v>
      </c>
      <c r="G177" vm="1862">
        <f ca="1"/>
        <v>149.25</v>
      </c>
      <c r="H177" vm="1863">
        <f ca="1"/>
        <v>241.5</v>
      </c>
      <c r="I177" vm="1864">
        <f ca="1"/>
        <v>163.74</v>
      </c>
      <c r="J177" vm="1865">
        <f ca="1"/>
        <v>276.04000000000002</v>
      </c>
      <c r="K177" vm="1866">
        <f ca="1"/>
        <v>144.72</v>
      </c>
    </row>
    <row r="178" spans="1:11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 vm="1872">
        <f ca="1"/>
        <v>43.9</v>
      </c>
      <c r="G178" vm="1873">
        <f ca="1"/>
        <v>148.81</v>
      </c>
      <c r="H178" vm="1874">
        <f ca="1"/>
        <v>241.07</v>
      </c>
      <c r="I178" vm="1875">
        <f ca="1"/>
        <v>161.44999999999999</v>
      </c>
      <c r="J178" vm="1876">
        <f ca="1"/>
        <v>274.39</v>
      </c>
      <c r="K178" vm="1877">
        <f ca="1"/>
        <v>140.38999999999999</v>
      </c>
    </row>
    <row r="179" spans="1:11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 vm="1882">
        <f ca="1"/>
        <v>43.966000000000001</v>
      </c>
      <c r="G179" vm="1883">
        <f ca="1"/>
        <v>149.12</v>
      </c>
      <c r="H179" vm="1884">
        <f ca="1"/>
        <v>244.66</v>
      </c>
      <c r="I179" vm="1885">
        <f ca="1"/>
        <v>162.47</v>
      </c>
      <c r="J179" vm="1500">
        <f ca="1"/>
        <v>265.27999999999997</v>
      </c>
      <c r="K179" vm="181">
        <f ca="1"/>
        <v>139.97999999999999</v>
      </c>
    </row>
    <row r="180" spans="1:11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 vm="1891">
        <f ca="1"/>
        <v>43.52</v>
      </c>
      <c r="G180" vm="1892">
        <f ca="1"/>
        <v>148.93</v>
      </c>
      <c r="H180" vm="1893">
        <f ca="1"/>
        <v>243.56</v>
      </c>
      <c r="I180" vm="1894">
        <f ca="1"/>
        <v>162.19999999999999</v>
      </c>
      <c r="J180" vm="1895">
        <f ca="1"/>
        <v>266.5</v>
      </c>
      <c r="K180" vm="1896">
        <f ca="1"/>
        <v>137.63</v>
      </c>
    </row>
    <row r="181" spans="1:11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 vm="1902">
        <f ca="1"/>
        <v>42.238999999999997</v>
      </c>
      <c r="G181" vm="1903">
        <f ca="1"/>
        <v>148.30000000000001</v>
      </c>
      <c r="H181" vm="1904">
        <f ca="1"/>
        <v>241.86</v>
      </c>
      <c r="I181" vm="1905">
        <f ca="1"/>
        <v>162.91</v>
      </c>
      <c r="J181" vm="1906">
        <f ca="1"/>
        <v>262.58999999999997</v>
      </c>
      <c r="K181" vm="1907">
        <f ca="1"/>
        <v>135.29</v>
      </c>
    </row>
    <row r="182" spans="1:11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 vm="1913">
        <f ca="1"/>
        <v>41.017000000000003</v>
      </c>
      <c r="G182" vm="1914">
        <f ca="1"/>
        <v>147.13999999999999</v>
      </c>
      <c r="H182" vm="1915">
        <f ca="1"/>
        <v>236.61</v>
      </c>
      <c r="I182" vm="1916">
        <f ca="1"/>
        <v>161.66</v>
      </c>
      <c r="J182" vm="1917">
        <f ca="1"/>
        <v>255.7</v>
      </c>
      <c r="K182" vm="1275">
        <f ca="1"/>
        <v>129.33000000000001</v>
      </c>
    </row>
    <row r="183" spans="1:11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 vm="1923">
        <f ca="1"/>
        <v>41.61</v>
      </c>
      <c r="G183" vm="1924">
        <f ca="1"/>
        <v>145.72999999999999</v>
      </c>
      <c r="H183" vm="1925">
        <f ca="1"/>
        <v>235.08</v>
      </c>
      <c r="I183" vm="1926">
        <f ca="1"/>
        <v>160.5</v>
      </c>
      <c r="J183" vm="1927">
        <f ca="1"/>
        <v>244.88</v>
      </c>
      <c r="K183" vm="1928">
        <f ca="1"/>
        <v>129.12</v>
      </c>
    </row>
    <row r="184" spans="1:11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 vm="1934">
        <f ca="1"/>
        <v>42.222000000000001</v>
      </c>
      <c r="G184" vm="1935">
        <f ca="1"/>
        <v>146.44999999999999</v>
      </c>
      <c r="H184" vm="1936">
        <f ca="1"/>
        <v>233.36</v>
      </c>
      <c r="I184" vm="1170">
        <f ca="1"/>
        <v>160.26</v>
      </c>
      <c r="J184" vm="1937">
        <f ca="1"/>
        <v>246.99</v>
      </c>
      <c r="K184" vm="1938">
        <f ca="1"/>
        <v>131.27000000000001</v>
      </c>
    </row>
    <row r="185" spans="1:11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 vm="1944">
        <f ca="1"/>
        <v>41.911000000000001</v>
      </c>
      <c r="G185" vm="1945">
        <f ca="1"/>
        <v>144.93</v>
      </c>
      <c r="H185" vm="1946">
        <f ca="1"/>
        <v>229.65</v>
      </c>
      <c r="I185" vm="1947">
        <f ca="1"/>
        <v>159.02000000000001</v>
      </c>
      <c r="J185" vm="1948">
        <f ca="1"/>
        <v>244.12</v>
      </c>
      <c r="K185" vm="1949">
        <f ca="1"/>
        <v>125.98</v>
      </c>
    </row>
    <row r="186" spans="1:11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 vm="1955">
        <f ca="1"/>
        <v>42.468000000000004</v>
      </c>
      <c r="G186" vm="1956">
        <f ca="1"/>
        <v>145.78</v>
      </c>
      <c r="H186" vm="1957">
        <f ca="1"/>
        <v>229.5</v>
      </c>
      <c r="I186" vm="1958">
        <f ca="1"/>
        <v>157.11000000000001</v>
      </c>
      <c r="J186" vm="1959">
        <f ca="1"/>
        <v>240.5</v>
      </c>
      <c r="K186" vm="1949">
        <f ca="1"/>
        <v>125.98</v>
      </c>
    </row>
    <row r="187" spans="1:11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 vm="1965">
        <f ca="1"/>
        <v>43.088999999999999</v>
      </c>
      <c r="G187" vm="1966">
        <f ca="1"/>
        <v>147.59</v>
      </c>
      <c r="H187" vm="1967">
        <f ca="1"/>
        <v>231.66</v>
      </c>
      <c r="I187" vm="1968">
        <f ca="1"/>
        <v>156.88</v>
      </c>
      <c r="J187" vm="1969">
        <f ca="1"/>
        <v>246.38</v>
      </c>
      <c r="K187" vm="1949">
        <f ca="1"/>
        <v>125.98</v>
      </c>
    </row>
    <row r="188" spans="1:11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 vm="1975">
        <f ca="1"/>
        <v>43.499000000000002</v>
      </c>
      <c r="G188" vm="1976">
        <f ca="1"/>
        <v>145.02000000000001</v>
      </c>
      <c r="H188" vm="1977">
        <f ca="1"/>
        <v>230.01</v>
      </c>
      <c r="I188" vm="1978">
        <f ca="1"/>
        <v>155.75</v>
      </c>
      <c r="J188" vm="1979">
        <f ca="1"/>
        <v>250.22</v>
      </c>
      <c r="K188" vm="1980">
        <f ca="1"/>
        <v>127.12</v>
      </c>
    </row>
    <row r="189" spans="1:11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 vm="1985">
        <f ca="1"/>
        <v>44.781999999999996</v>
      </c>
      <c r="G189" vm="1986">
        <f ca="1"/>
        <v>143.77000000000001</v>
      </c>
      <c r="H189" vm="959">
        <f ca="1"/>
        <v>231.27</v>
      </c>
      <c r="I189" vm="1987">
        <f ca="1"/>
        <v>155.15</v>
      </c>
      <c r="J189" vm="1988">
        <f ca="1"/>
        <v>251.6</v>
      </c>
      <c r="K189" vm="1989">
        <f ca="1"/>
        <v>129.46</v>
      </c>
    </row>
    <row r="190" spans="1:11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 vm="1995">
        <f ca="1"/>
        <v>43.517000000000003</v>
      </c>
      <c r="G190" vm="1996">
        <f ca="1"/>
        <v>142.71</v>
      </c>
      <c r="H190" vm="1997">
        <f ca="1"/>
        <v>228.81</v>
      </c>
      <c r="I190" vm="1998">
        <f ca="1"/>
        <v>155.34</v>
      </c>
      <c r="J190" vm="1999">
        <f ca="1"/>
        <v>246.53</v>
      </c>
      <c r="K190" vm="2000">
        <f ca="1"/>
        <v>124.72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4"/>
  <sheetViews>
    <sheetView topLeftCell="D1" workbookViewId="0">
      <selection activeCell="T5" sqref="T5"/>
    </sheetView>
  </sheetViews>
  <sheetFormatPr baseColWidth="10" defaultRowHeight="15" x14ac:dyDescent="0.25"/>
  <cols>
    <col min="2" max="2" width="11.28515625" customWidth="1"/>
    <col min="3" max="5" width="10.7109375" customWidth="1"/>
    <col min="6" max="9" width="8.140625" customWidth="1"/>
    <col min="10" max="13" width="12.28515625" customWidth="1"/>
    <col min="14" max="14" width="15.42578125" customWidth="1"/>
    <col min="15" max="18" width="9.5703125" customWidth="1"/>
    <col min="19" max="19" width="11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23</v>
      </c>
      <c r="P1" t="s">
        <v>24</v>
      </c>
      <c r="Q1" t="s">
        <v>25</v>
      </c>
      <c r="R1" t="s">
        <v>26</v>
      </c>
      <c r="S1" t="s">
        <v>22</v>
      </c>
      <c r="T1" t="s">
        <v>27</v>
      </c>
    </row>
    <row r="2" spans="1:20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F2*B2</f>
        <v>200112</v>
      </c>
      <c r="K2">
        <f ca="1">G2*C2</f>
        <v>1772892</v>
      </c>
      <c r="L2">
        <f ca="1">H2*D2</f>
        <v>1114000</v>
      </c>
      <c r="M2">
        <f ca="1">I2*E2</f>
        <v>1309770</v>
      </c>
      <c r="N2">
        <f ca="1">SUM(J2:M2)</f>
        <v>4396774</v>
      </c>
      <c r="O2">
        <f ca="1">J2/N2</f>
        <v>4.5513369575056618E-2</v>
      </c>
      <c r="P2">
        <f ca="1">K2/N2</f>
        <v>0.40322563770619096</v>
      </c>
      <c r="Q2">
        <f ca="1">L2/N2</f>
        <v>0.25336758268676079</v>
      </c>
      <c r="R2">
        <f ca="1">M2/N2</f>
        <v>0.29789341003199166</v>
      </c>
      <c r="T2">
        <f>1000</f>
        <v>1000</v>
      </c>
    </row>
    <row r="3" spans="1:20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0">F3*B3</f>
        <v>202176</v>
      </c>
      <c r="K3">
        <f t="shared" ref="K3:K66" ca="1" si="1">G3*C3</f>
        <v>1695340</v>
      </c>
      <c r="L3">
        <f t="shared" ref="L3:L66" ca="1" si="2">H3*D3</f>
        <v>1101000</v>
      </c>
      <c r="M3">
        <f t="shared" ref="M3:M66" ca="1" si="3">I3*E3</f>
        <v>1337385</v>
      </c>
      <c r="N3">
        <f t="shared" ref="N3:N66" ca="1" si="4">SUM(J3:M3)</f>
        <v>4335901</v>
      </c>
      <c r="O3">
        <f t="shared" ref="O3:O66" ca="1" si="5">J3/N3</f>
        <v>4.662837089684474E-2</v>
      </c>
      <c r="P3">
        <f t="shared" ref="P3:P66" ca="1" si="6">K3/N3</f>
        <v>0.39100062478363784</v>
      </c>
      <c r="Q3">
        <f t="shared" ref="Q3:Q66" ca="1" si="7">L3/N3</f>
        <v>0.25392646188185569</v>
      </c>
      <c r="R3">
        <f t="shared" ref="R3:R66" ca="1" si="8">M3/N3</f>
        <v>0.30844454243766173</v>
      </c>
      <c r="S3" cm="1">
        <f t="array" aca="1" ref="S3" ca="1">SUMPRODUCT(O2:R2*(B3:E3-B2:E2)/B2:E2)</f>
        <v>-1.3844923573510963E-2</v>
      </c>
      <c r="T3">
        <f ca="1">T2*(S3+1)</f>
        <v>986.15507642648902</v>
      </c>
    </row>
    <row r="4" spans="1:20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t="shared" ca="1" si="0"/>
        <v>200032</v>
      </c>
      <c r="K4">
        <f t="shared" ca="1" si="1"/>
        <v>1645094</v>
      </c>
      <c r="L4">
        <f t="shared" ca="1" si="2"/>
        <v>1077500</v>
      </c>
      <c r="M4">
        <f t="shared" ca="1" si="3"/>
        <v>1332870</v>
      </c>
      <c r="N4">
        <f t="shared" ca="1" si="4"/>
        <v>4255496</v>
      </c>
      <c r="O4">
        <f t="shared" ca="1" si="5"/>
        <v>4.7005566448658394E-2</v>
      </c>
      <c r="P4">
        <f t="shared" ca="1" si="6"/>
        <v>0.38658102369265535</v>
      </c>
      <c r="Q4">
        <f t="shared" ca="1" si="7"/>
        <v>0.25320197692583896</v>
      </c>
      <c r="R4">
        <f t="shared" ca="1" si="8"/>
        <v>0.31321143293284731</v>
      </c>
      <c r="S4" cm="1">
        <f t="array" aca="1" ref="S4" ca="1">SUMPRODUCT(O3:R3*(B4:E4-B3:E3)/B3:E3)</f>
        <v>-1.8544011959682648E-2</v>
      </c>
      <c r="T4">
        <f t="shared" ref="T4:T67" ca="1" si="9">T3*(S4+1)</f>
        <v>967.86780489513444</v>
      </c>
    </row>
    <row r="5" spans="1:20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0"/>
        <v>207392</v>
      </c>
      <c r="K5">
        <f t="shared" ca="1" si="1"/>
        <v>1664482</v>
      </c>
      <c r="L5">
        <f t="shared" ca="1" si="2"/>
        <v>1091750</v>
      </c>
      <c r="M5">
        <f t="shared" ca="1" si="3"/>
        <v>1365210</v>
      </c>
      <c r="N5">
        <f t="shared" ca="1" si="4"/>
        <v>4328834</v>
      </c>
      <c r="O5">
        <f t="shared" ca="1" si="5"/>
        <v>4.7909437044709964E-2</v>
      </c>
      <c r="P5">
        <f t="shared" ca="1" si="6"/>
        <v>0.38451047094898994</v>
      </c>
      <c r="Q5">
        <f t="shared" ca="1" si="7"/>
        <v>0.25220417322539973</v>
      </c>
      <c r="R5">
        <f t="shared" ca="1" si="8"/>
        <v>0.31537591878090038</v>
      </c>
      <c r="S5" cm="1">
        <f t="array" aca="1" ref="S5" ca="1">SUMPRODUCT(O4:R4*(B5:E5-B4:E4)/B4:E4)</f>
        <v>1.7233713766855892E-2</v>
      </c>
      <c r="T5">
        <f t="shared" ca="1" si="9"/>
        <v>984.54776160885228</v>
      </c>
    </row>
    <row r="6" spans="1:20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0"/>
        <v>208240</v>
      </c>
      <c r="K6">
        <f t="shared" ca="1" si="1"/>
        <v>1680688</v>
      </c>
      <c r="L6">
        <f t="shared" ca="1" si="2"/>
        <v>1100250</v>
      </c>
      <c r="M6">
        <f t="shared" ca="1" si="3"/>
        <v>1359435</v>
      </c>
      <c r="N6">
        <f t="shared" ca="1" si="4"/>
        <v>4348613</v>
      </c>
      <c r="O6">
        <f t="shared" ca="1" si="5"/>
        <v>4.7886533016389364E-2</v>
      </c>
      <c r="P6">
        <f t="shared" ca="1" si="6"/>
        <v>0.38648828948448621</v>
      </c>
      <c r="Q6">
        <f t="shared" ca="1" si="7"/>
        <v>0.25301170741107565</v>
      </c>
      <c r="R6">
        <f t="shared" ca="1" si="8"/>
        <v>0.31261347008804874</v>
      </c>
      <c r="S6" cm="1">
        <f t="array" aca="1" ref="S6" ca="1">SUMPRODUCT(O5:R5*(B6:E6-B5:E5)/B5:E5)</f>
        <v>4.5691287769408055E-3</v>
      </c>
      <c r="T6">
        <f t="shared" ca="1" si="9"/>
        <v>989.04628711869191</v>
      </c>
    </row>
    <row r="7" spans="1:20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0"/>
        <v>209167.99999999997</v>
      </c>
      <c r="K7">
        <f t="shared" ca="1" si="1"/>
        <v>1693490</v>
      </c>
      <c r="L7">
        <f t="shared" ca="1" si="2"/>
        <v>1105250</v>
      </c>
      <c r="M7">
        <f t="shared" ca="1" si="3"/>
        <v>1396395</v>
      </c>
      <c r="N7">
        <f t="shared" ca="1" si="4"/>
        <v>4404303</v>
      </c>
      <c r="O7">
        <f t="shared" ca="1" si="5"/>
        <v>4.7491737058054352E-2</v>
      </c>
      <c r="P7">
        <f t="shared" ca="1" si="6"/>
        <v>0.38450805950453454</v>
      </c>
      <c r="Q7">
        <f t="shared" ca="1" si="7"/>
        <v>0.25094776630944782</v>
      </c>
      <c r="R7">
        <f t="shared" ca="1" si="8"/>
        <v>0.31705243712796327</v>
      </c>
      <c r="S7" cm="1">
        <f t="array" aca="1" ref="S7" ca="1">SUMPRODUCT(O6:R6*(B7:E7-B6:E6)/B6:E6)</f>
        <v>1.2806382172890545E-2</v>
      </c>
      <c r="T7">
        <f t="shared" ca="1" si="9"/>
        <v>1001.7123918582123</v>
      </c>
    </row>
    <row r="8" spans="1:20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0"/>
        <v>213584</v>
      </c>
      <c r="K8">
        <f t="shared" ca="1" si="1"/>
        <v>1744698</v>
      </c>
      <c r="L8">
        <f t="shared" ca="1" si="2"/>
        <v>1144000</v>
      </c>
      <c r="M8">
        <f t="shared" ca="1" si="3"/>
        <v>1395344.9999999998</v>
      </c>
      <c r="N8">
        <f t="shared" ca="1" si="4"/>
        <v>4497627</v>
      </c>
      <c r="O8">
        <f t="shared" ca="1" si="5"/>
        <v>4.7488153197230452E-2</v>
      </c>
      <c r="P8">
        <f t="shared" ca="1" si="6"/>
        <v>0.38791522729652772</v>
      </c>
      <c r="Q8">
        <f t="shared" ca="1" si="7"/>
        <v>0.2543563528056017</v>
      </c>
      <c r="R8">
        <f t="shared" ca="1" si="8"/>
        <v>0.31024026670064009</v>
      </c>
      <c r="S8" cm="1">
        <f t="array" aca="1" ref="S8" ca="1">SUMPRODUCT(O7:R7*(B8:E8-B7:E7)/B7:E7)</f>
        <v>2.1189277849412231E-2</v>
      </c>
      <c r="T8">
        <f t="shared" ca="1" si="9"/>
        <v>1022.9379540544953</v>
      </c>
    </row>
    <row r="9" spans="1:20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0"/>
        <v>213456</v>
      </c>
      <c r="K9">
        <f t="shared" ca="1" si="1"/>
        <v>1764974</v>
      </c>
      <c r="L9">
        <f t="shared" ca="1" si="2"/>
        <v>1139125</v>
      </c>
      <c r="M9">
        <f t="shared" ca="1" si="3"/>
        <v>1435455</v>
      </c>
      <c r="N9">
        <f t="shared" ca="1" si="4"/>
        <v>4553010</v>
      </c>
      <c r="O9">
        <f t="shared" ca="1" si="5"/>
        <v>4.6882392087871538E-2</v>
      </c>
      <c r="P9">
        <f t="shared" ca="1" si="6"/>
        <v>0.3876499282891977</v>
      </c>
      <c r="Q9">
        <f t="shared" ca="1" si="7"/>
        <v>0.25019163147017026</v>
      </c>
      <c r="R9">
        <f t="shared" ca="1" si="8"/>
        <v>0.3152760481527605</v>
      </c>
      <c r="S9" cm="1">
        <f t="array" aca="1" ref="S9" ca="1">SUMPRODUCT(O8:R8*(B9:E9-B8:E8)/B8:E8)</f>
        <v>1.2313826824678893E-2</v>
      </c>
      <c r="T9">
        <f t="shared" ca="1" si="9"/>
        <v>1035.5342348731137</v>
      </c>
    </row>
    <row r="10" spans="1:20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0"/>
        <v>215616</v>
      </c>
      <c r="K10">
        <f t="shared" ca="1" si="1"/>
        <v>1770302</v>
      </c>
      <c r="L10">
        <f t="shared" ca="1" si="2"/>
        <v>1151500</v>
      </c>
      <c r="M10">
        <f t="shared" ca="1" si="3"/>
        <v>1438290</v>
      </c>
      <c r="N10">
        <f t="shared" ca="1" si="4"/>
        <v>4575708</v>
      </c>
      <c r="O10">
        <f t="shared" ca="1" si="5"/>
        <v>4.7121888022574866E-2</v>
      </c>
      <c r="P10">
        <f t="shared" ca="1" si="6"/>
        <v>0.3868913838033371</v>
      </c>
      <c r="Q10">
        <f t="shared" ca="1" si="7"/>
        <v>0.25165504442154091</v>
      </c>
      <c r="R10">
        <f t="shared" ca="1" si="8"/>
        <v>0.31433168375254716</v>
      </c>
      <c r="S10" cm="1">
        <f t="array" aca="1" ref="S10" ca="1">SUMPRODUCT(O9:R9*(B10:E10-B9:E9)/B9:E9)</f>
        <v>4.9852734784241425E-3</v>
      </c>
      <c r="T10">
        <f t="shared" ca="1" si="9"/>
        <v>1040.6966562302268</v>
      </c>
    </row>
    <row r="11" spans="1:20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0"/>
        <v>217504</v>
      </c>
      <c r="K11">
        <f t="shared" ca="1" si="1"/>
        <v>1778590</v>
      </c>
      <c r="L11">
        <f t="shared" ca="1" si="2"/>
        <v>1141125</v>
      </c>
      <c r="M11">
        <f t="shared" ca="1" si="3"/>
        <v>1421280.0000000002</v>
      </c>
      <c r="N11">
        <f t="shared" ca="1" si="4"/>
        <v>4558499</v>
      </c>
      <c r="O11">
        <f t="shared" ca="1" si="5"/>
        <v>4.7713951456389479E-2</v>
      </c>
      <c r="P11">
        <f t="shared" ca="1" si="6"/>
        <v>0.3901700976571455</v>
      </c>
      <c r="Q11">
        <f t="shared" ca="1" si="7"/>
        <v>0.25032911052519702</v>
      </c>
      <c r="R11">
        <f t="shared" ca="1" si="8"/>
        <v>0.31178684036126808</v>
      </c>
      <c r="S11" cm="1">
        <f t="array" aca="1" ref="S11" ca="1">SUMPRODUCT(O10:R10*(B11:E11-B10:E10)/B10:E10)</f>
        <v>-3.7609480325229852E-3</v>
      </c>
      <c r="T11">
        <f t="shared" ca="1" si="9"/>
        <v>1036.7826501885245</v>
      </c>
    </row>
    <row r="12" spans="1:20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0"/>
        <v>216336</v>
      </c>
      <c r="K12">
        <f t="shared" ca="1" si="1"/>
        <v>1744994</v>
      </c>
      <c r="L12">
        <f t="shared" ca="1" si="2"/>
        <v>1139000</v>
      </c>
      <c r="M12">
        <f t="shared" ca="1" si="3"/>
        <v>1396710</v>
      </c>
      <c r="N12">
        <f t="shared" ca="1" si="4"/>
        <v>4497040</v>
      </c>
      <c r="O12">
        <f t="shared" ca="1" si="5"/>
        <v>4.8106309928308395E-2</v>
      </c>
      <c r="P12">
        <f t="shared" ca="1" si="6"/>
        <v>0.38803168306263675</v>
      </c>
      <c r="Q12">
        <f t="shared" ca="1" si="7"/>
        <v>0.25327771156138262</v>
      </c>
      <c r="R12">
        <f t="shared" ca="1" si="8"/>
        <v>0.31058429544767224</v>
      </c>
      <c r="S12" cm="1">
        <f t="array" aca="1" ref="S12" ca="1">SUMPRODUCT(O11:R11*(B12:E12-B11:E11)/B11:E11)</f>
        <v>-1.3482288797255408E-2</v>
      </c>
      <c r="T12">
        <f t="shared" ca="1" si="9"/>
        <v>1022.8044470786989</v>
      </c>
    </row>
    <row r="13" spans="1:20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0"/>
        <v>216432.00000000003</v>
      </c>
      <c r="K13">
        <f t="shared" ca="1" si="1"/>
        <v>1716282</v>
      </c>
      <c r="L13">
        <f t="shared" ca="1" si="2"/>
        <v>1163125</v>
      </c>
      <c r="M13">
        <f t="shared" ca="1" si="3"/>
        <v>1429575</v>
      </c>
      <c r="N13">
        <f t="shared" ca="1" si="4"/>
        <v>4525414</v>
      </c>
      <c r="O13">
        <f t="shared" ca="1" si="5"/>
        <v>4.7825900569539059E-2</v>
      </c>
      <c r="P13">
        <f t="shared" ca="1" si="6"/>
        <v>0.37925414116807876</v>
      </c>
      <c r="Q13">
        <f t="shared" ca="1" si="7"/>
        <v>0.25702068363248093</v>
      </c>
      <c r="R13">
        <f t="shared" ca="1" si="8"/>
        <v>0.31589927462990125</v>
      </c>
      <c r="S13" cm="1">
        <f t="array" aca="1" ref="S13" ca="1">SUMPRODUCT(O12:R12*(B13:E13-B12:E12)/B12:E12)</f>
        <v>6.309483571415842E-3</v>
      </c>
      <c r="T13">
        <f t="shared" ca="1" si="9"/>
        <v>1029.257814934313</v>
      </c>
    </row>
    <row r="14" spans="1:20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0"/>
        <v>220592</v>
      </c>
      <c r="K14">
        <f t="shared" ca="1" si="1"/>
        <v>1777628</v>
      </c>
      <c r="L14">
        <f t="shared" ca="1" si="2"/>
        <v>1225250</v>
      </c>
      <c r="M14">
        <f t="shared" ca="1" si="3"/>
        <v>1463385</v>
      </c>
      <c r="N14">
        <f t="shared" ca="1" si="4"/>
        <v>4686855</v>
      </c>
      <c r="O14">
        <f t="shared" ca="1" si="5"/>
        <v>4.7066102962434297E-2</v>
      </c>
      <c r="P14">
        <f t="shared" ca="1" si="6"/>
        <v>0.37927949552525092</v>
      </c>
      <c r="Q14">
        <f t="shared" ca="1" si="7"/>
        <v>0.26142263842171348</v>
      </c>
      <c r="R14">
        <f t="shared" ca="1" si="8"/>
        <v>0.31223176309060124</v>
      </c>
      <c r="S14" cm="1">
        <f t="array" aca="1" ref="S14" ca="1">SUMPRODUCT(O13:R13*(B14:E14-B13:E13)/B13:E13)</f>
        <v>3.5674305157494958E-2</v>
      </c>
      <c r="T14">
        <f t="shared" ca="1" si="9"/>
        <v>1065.9758723100163</v>
      </c>
    </row>
    <row r="15" spans="1:20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0"/>
        <v>225776.00000000003</v>
      </c>
      <c r="K15">
        <f t="shared" ca="1" si="1"/>
        <v>1795092</v>
      </c>
      <c r="L15">
        <f t="shared" ca="1" si="2"/>
        <v>1247375</v>
      </c>
      <c r="M15">
        <f t="shared" ca="1" si="3"/>
        <v>1504335</v>
      </c>
      <c r="N15">
        <f t="shared" ca="1" si="4"/>
        <v>4772578</v>
      </c>
      <c r="O15">
        <f t="shared" ca="1" si="5"/>
        <v>4.7306927199513557E-2</v>
      </c>
      <c r="P15">
        <f t="shared" ca="1" si="6"/>
        <v>0.37612627808283072</v>
      </c>
      <c r="Q15">
        <f t="shared" ca="1" si="7"/>
        <v>0.26136293634174235</v>
      </c>
      <c r="R15">
        <f t="shared" ca="1" si="8"/>
        <v>0.31520385837591341</v>
      </c>
      <c r="S15" cm="1">
        <f t="array" aca="1" ref="S15" ca="1">SUMPRODUCT(O14:R14*(B15:E15-B14:E14)/B14:E14)</f>
        <v>1.8290090049724241E-2</v>
      </c>
      <c r="T15">
        <f t="shared" ca="1" si="9"/>
        <v>1085.4726670053999</v>
      </c>
    </row>
    <row r="16" spans="1:20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0"/>
        <v>228048</v>
      </c>
      <c r="K16">
        <f t="shared" ca="1" si="1"/>
        <v>1791096</v>
      </c>
      <c r="L16">
        <f t="shared" ca="1" si="2"/>
        <v>1221250</v>
      </c>
      <c r="M16">
        <f t="shared" ca="1" si="3"/>
        <v>1502969.9999999998</v>
      </c>
      <c r="N16">
        <f t="shared" ca="1" si="4"/>
        <v>4743364</v>
      </c>
      <c r="O16">
        <f t="shared" ca="1" si="5"/>
        <v>4.8077271742164425E-2</v>
      </c>
      <c r="P16">
        <f t="shared" ca="1" si="6"/>
        <v>0.37760036969543137</v>
      </c>
      <c r="Q16">
        <f t="shared" ca="1" si="7"/>
        <v>0.25746495525116775</v>
      </c>
      <c r="R16">
        <f t="shared" ca="1" si="8"/>
        <v>0.31685740331123646</v>
      </c>
      <c r="S16" cm="1">
        <f t="array" aca="1" ref="S16" ca="1">SUMPRODUCT(O15:R15*(B16:E16-B15:E15)/B15:E15)</f>
        <v>-6.1212200198719566E-3</v>
      </c>
      <c r="T16">
        <f t="shared" ca="1" si="9"/>
        <v>1078.8282499851027</v>
      </c>
    </row>
    <row r="17" spans="1:20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0"/>
        <v>226976.00000000003</v>
      </c>
      <c r="K17">
        <f t="shared" ca="1" si="1"/>
        <v>1780514</v>
      </c>
      <c r="L17">
        <f t="shared" ca="1" si="2"/>
        <v>1190250</v>
      </c>
      <c r="M17">
        <f t="shared" ca="1" si="3"/>
        <v>1485750</v>
      </c>
      <c r="N17">
        <f t="shared" ca="1" si="4"/>
        <v>4683490</v>
      </c>
      <c r="O17">
        <f t="shared" ca="1" si="5"/>
        <v>4.8463005152140824E-2</v>
      </c>
      <c r="P17">
        <f t="shared" ca="1" si="6"/>
        <v>0.38016820789624833</v>
      </c>
      <c r="Q17">
        <f t="shared" ca="1" si="7"/>
        <v>0.25413740607965429</v>
      </c>
      <c r="R17">
        <f t="shared" ca="1" si="8"/>
        <v>0.31723138087195657</v>
      </c>
      <c r="S17" cm="1">
        <f t="array" aca="1" ref="S17" ca="1">SUMPRODUCT(O16:R16*(B17:E17-B16:E16)/B16:E16)</f>
        <v>-1.2622687189935186E-2</v>
      </c>
      <c r="T17">
        <f t="shared" ca="1" si="9"/>
        <v>1065.2105384538756</v>
      </c>
    </row>
    <row r="18" spans="1:20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0"/>
        <v>230336</v>
      </c>
      <c r="K18">
        <f t="shared" ca="1" si="1"/>
        <v>1835200</v>
      </c>
      <c r="L18">
        <f t="shared" ca="1" si="2"/>
        <v>1219000</v>
      </c>
      <c r="M18">
        <f t="shared" ca="1" si="3"/>
        <v>1546650.0000000002</v>
      </c>
      <c r="N18">
        <f t="shared" ca="1" si="4"/>
        <v>4831186</v>
      </c>
      <c r="O18">
        <f t="shared" ca="1" si="5"/>
        <v>4.7676905836372269E-2</v>
      </c>
      <c r="P18">
        <f t="shared" ca="1" si="6"/>
        <v>0.37986531671519169</v>
      </c>
      <c r="Q18">
        <f t="shared" ca="1" si="7"/>
        <v>0.25231899579109562</v>
      </c>
      <c r="R18">
        <f t="shared" ca="1" si="8"/>
        <v>0.3201387816573405</v>
      </c>
      <c r="S18" cm="1">
        <f t="array" aca="1" ref="S18" ca="1">SUMPRODUCT(O17:R17*(B18:E18-B17:E17)/B17:E17)</f>
        <v>3.1535457532737336E-2</v>
      </c>
      <c r="T18">
        <f t="shared" ca="1" si="9"/>
        <v>1098.8024401527121</v>
      </c>
    </row>
    <row r="19" spans="1:20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0"/>
        <v>233488</v>
      </c>
      <c r="K19">
        <f t="shared" ca="1" si="1"/>
        <v>1836384</v>
      </c>
      <c r="L19">
        <f t="shared" ca="1" si="2"/>
        <v>1242125</v>
      </c>
      <c r="M19">
        <f t="shared" ca="1" si="3"/>
        <v>1593270</v>
      </c>
      <c r="N19">
        <f t="shared" ca="1" si="4"/>
        <v>4905267</v>
      </c>
      <c r="O19">
        <f t="shared" ca="1" si="5"/>
        <v>4.7599447695711568E-2</v>
      </c>
      <c r="P19">
        <f t="shared" ca="1" si="6"/>
        <v>0.37436983552577258</v>
      </c>
      <c r="Q19">
        <f t="shared" ca="1" si="7"/>
        <v>0.25322270938564606</v>
      </c>
      <c r="R19">
        <f t="shared" ca="1" si="8"/>
        <v>0.32480800739286975</v>
      </c>
      <c r="S19" cm="1">
        <f t="array" aca="1" ref="S19" ca="1">SUMPRODUCT(O18:R18*(B19:E19-B18:E18)/B18:E18)</f>
        <v>1.5333915936997679E-2</v>
      </c>
      <c r="T19">
        <f t="shared" ca="1" si="9"/>
        <v>1115.6513844013816</v>
      </c>
    </row>
    <row r="20" spans="1:20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0"/>
        <v>228800</v>
      </c>
      <c r="K20">
        <f t="shared" ca="1" si="1"/>
        <v>1796054</v>
      </c>
      <c r="L20">
        <f t="shared" ca="1" si="2"/>
        <v>1211750</v>
      </c>
      <c r="M20">
        <f t="shared" ca="1" si="3"/>
        <v>1544130</v>
      </c>
      <c r="N20">
        <f t="shared" ca="1" si="4"/>
        <v>4780734</v>
      </c>
      <c r="O20">
        <f t="shared" ca="1" si="5"/>
        <v>4.7858759763668088E-2</v>
      </c>
      <c r="P20">
        <f t="shared" ca="1" si="6"/>
        <v>0.37568582564936681</v>
      </c>
      <c r="Q20">
        <f t="shared" ca="1" si="7"/>
        <v>0.25346526286549304</v>
      </c>
      <c r="R20">
        <f t="shared" ca="1" si="8"/>
        <v>0.32299015172147205</v>
      </c>
      <c r="S20" cm="1">
        <f t="array" aca="1" ref="S20" ca="1">SUMPRODUCT(O19:R19*(B20:E20-B19:E19)/B19:E19)</f>
        <v>-2.5387608870220534E-2</v>
      </c>
      <c r="T20">
        <f t="shared" ca="1" si="9"/>
        <v>1087.3276634186793</v>
      </c>
    </row>
    <row r="21" spans="1:20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0"/>
        <v>230864</v>
      </c>
      <c r="K21">
        <f t="shared" ca="1" si="1"/>
        <v>1833794</v>
      </c>
      <c r="L21">
        <f t="shared" ca="1" si="2"/>
        <v>1235500</v>
      </c>
      <c r="M21">
        <f t="shared" ca="1" si="3"/>
        <v>1564185</v>
      </c>
      <c r="N21">
        <f t="shared" ca="1" si="4"/>
        <v>4864343</v>
      </c>
      <c r="O21">
        <f t="shared" ca="1" si="5"/>
        <v>4.7460468967751655E-2</v>
      </c>
      <c r="P21">
        <f t="shared" ca="1" si="6"/>
        <v>0.37698698467603947</v>
      </c>
      <c r="Q21">
        <f t="shared" ca="1" si="7"/>
        <v>0.25399113508237392</v>
      </c>
      <c r="R21">
        <f t="shared" ca="1" si="8"/>
        <v>0.32156141127383492</v>
      </c>
      <c r="S21" cm="1">
        <f t="array" aca="1" ref="S21" ca="1">SUMPRODUCT(O20:R20*(B21:E21-B20:E20)/B20:E20)</f>
        <v>1.7488737085142151E-2</v>
      </c>
      <c r="T21">
        <f t="shared" ca="1" si="9"/>
        <v>1106.3436510496106</v>
      </c>
    </row>
    <row r="22" spans="1:20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0"/>
        <v>232688</v>
      </c>
      <c r="K22">
        <f t="shared" ca="1" si="1"/>
        <v>1870350</v>
      </c>
      <c r="L22">
        <f t="shared" ca="1" si="2"/>
        <v>1255375</v>
      </c>
      <c r="M22">
        <f t="shared" ca="1" si="3"/>
        <v>1607760</v>
      </c>
      <c r="N22">
        <f t="shared" ca="1" si="4"/>
        <v>4966173</v>
      </c>
      <c r="O22">
        <f t="shared" ca="1" si="5"/>
        <v>4.6854590043480158E-2</v>
      </c>
      <c r="P22">
        <f t="shared" ca="1" si="6"/>
        <v>0.37661797122250879</v>
      </c>
      <c r="Q22">
        <f t="shared" ca="1" si="7"/>
        <v>0.25278519294434565</v>
      </c>
      <c r="R22">
        <f t="shared" ca="1" si="8"/>
        <v>0.32374224578966543</v>
      </c>
      <c r="S22" cm="1">
        <f t="array" aca="1" ref="S22" ca="1">SUMPRODUCT(O21:R21*(B22:E22-B21:E21)/B21:E21)</f>
        <v>2.093396785547403E-2</v>
      </c>
      <c r="T22">
        <f t="shared" ca="1" si="9"/>
        <v>1129.503813477791</v>
      </c>
    </row>
    <row r="23" spans="1:20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0"/>
        <v>241312</v>
      </c>
      <c r="K23">
        <f t="shared" ca="1" si="1"/>
        <v>1958040.0000000002</v>
      </c>
      <c r="L23">
        <f t="shared" ca="1" si="2"/>
        <v>1346750</v>
      </c>
      <c r="M23">
        <f t="shared" ca="1" si="3"/>
        <v>1982085</v>
      </c>
      <c r="N23">
        <f t="shared" ca="1" si="4"/>
        <v>5528187</v>
      </c>
      <c r="O23">
        <f t="shared" ca="1" si="5"/>
        <v>4.3651200655838884E-2</v>
      </c>
      <c r="P23">
        <f t="shared" ca="1" si="6"/>
        <v>0.35419207056490676</v>
      </c>
      <c r="Q23">
        <f t="shared" ca="1" si="7"/>
        <v>0.24361513096427453</v>
      </c>
      <c r="R23">
        <f t="shared" ca="1" si="8"/>
        <v>0.35854159781497985</v>
      </c>
      <c r="S23" cm="1">
        <f t="array" aca="1" ref="S23" ca="1">SUMPRODUCT(O22:R22*(B23:E23-B22:E22)/B22:E22)</f>
        <v>0.1131684296942535</v>
      </c>
      <c r="T23">
        <f t="shared" ca="1" si="9"/>
        <v>1257.3279863827436</v>
      </c>
    </row>
    <row r="24" spans="1:20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0"/>
        <v>247200</v>
      </c>
      <c r="K24">
        <f t="shared" ca="1" si="1"/>
        <v>1911790.0000000002</v>
      </c>
      <c r="L24">
        <f t="shared" ca="1" si="2"/>
        <v>1309750</v>
      </c>
      <c r="M24">
        <f t="shared" ca="1" si="3"/>
        <v>1958565</v>
      </c>
      <c r="N24">
        <f t="shared" ca="1" si="4"/>
        <v>5427305</v>
      </c>
      <c r="O24">
        <f t="shared" ca="1" si="5"/>
        <v>4.5547467850065547E-2</v>
      </c>
      <c r="P24">
        <f t="shared" ca="1" si="6"/>
        <v>0.35225401926001954</v>
      </c>
      <c r="Q24">
        <f t="shared" ca="1" si="7"/>
        <v>0.24132603566595207</v>
      </c>
      <c r="R24">
        <f t="shared" ca="1" si="8"/>
        <v>0.36087247722396293</v>
      </c>
      <c r="S24" cm="1">
        <f t="array" aca="1" ref="S24" ca="1">SUMPRODUCT(O23:R23*(B24:E24-B23:E23)/B23:E23)</f>
        <v>-1.8248659099267085E-2</v>
      </c>
      <c r="T24">
        <f t="shared" ca="1" si="9"/>
        <v>1234.383436583277</v>
      </c>
    </row>
    <row r="25" spans="1:20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0"/>
        <v>242767.99999999997</v>
      </c>
      <c r="K25">
        <f t="shared" ca="1" si="1"/>
        <v>1900097.9999999998</v>
      </c>
      <c r="L25">
        <f t="shared" ca="1" si="2"/>
        <v>1286250</v>
      </c>
      <c r="M25">
        <f t="shared" ca="1" si="3"/>
        <v>1953630</v>
      </c>
      <c r="N25">
        <f t="shared" ca="1" si="4"/>
        <v>5382746</v>
      </c>
      <c r="O25">
        <f t="shared" ca="1" si="5"/>
        <v>4.5101143542719643E-2</v>
      </c>
      <c r="P25">
        <f t="shared" ca="1" si="6"/>
        <v>0.3529978936401606</v>
      </c>
      <c r="Q25">
        <f t="shared" ca="1" si="7"/>
        <v>0.23895795937612513</v>
      </c>
      <c r="R25">
        <f t="shared" ca="1" si="8"/>
        <v>0.36294300344099462</v>
      </c>
      <c r="S25" cm="1">
        <f t="array" aca="1" ref="S25" ca="1">SUMPRODUCT(O24:R24*(B25:E25-B24:E24)/B24:E24)</f>
        <v>-8.2101521841872246E-3</v>
      </c>
      <c r="T25">
        <f t="shared" ca="1" si="9"/>
        <v>1224.2489607152884</v>
      </c>
    </row>
    <row r="26" spans="1:20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0"/>
        <v>247440</v>
      </c>
      <c r="K26">
        <f t="shared" ca="1" si="1"/>
        <v>1979944</v>
      </c>
      <c r="L26">
        <f t="shared" ca="1" si="2"/>
        <v>1345500</v>
      </c>
      <c r="M26">
        <f t="shared" ca="1" si="3"/>
        <v>2012010</v>
      </c>
      <c r="N26">
        <f t="shared" ca="1" si="4"/>
        <v>5584894</v>
      </c>
      <c r="O26">
        <f t="shared" ca="1" si="5"/>
        <v>4.4305227637265812E-2</v>
      </c>
      <c r="P26">
        <f t="shared" ca="1" si="6"/>
        <v>0.3545177401755521</v>
      </c>
      <c r="Q26">
        <f t="shared" ca="1" si="7"/>
        <v>0.24091773272688793</v>
      </c>
      <c r="R26">
        <f t="shared" ca="1" si="8"/>
        <v>0.36025929946029417</v>
      </c>
      <c r="S26" cm="1">
        <f t="array" aca="1" ref="S26" ca="1">SUMPRODUCT(O25:R25*(B26:E26-B25:E25)/B25:E25)</f>
        <v>3.7554809385395509E-2</v>
      </c>
      <c r="T26">
        <f t="shared" ca="1" si="9"/>
        <v>1270.2253970752195</v>
      </c>
    </row>
    <row r="27" spans="1:20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0"/>
        <v>243071.99999999997</v>
      </c>
      <c r="K27">
        <f t="shared" ca="1" si="1"/>
        <v>1973802.0000000002</v>
      </c>
      <c r="L27">
        <f t="shared" ca="1" si="2"/>
        <v>1242125</v>
      </c>
      <c r="M27">
        <f t="shared" ca="1" si="3"/>
        <v>1926015</v>
      </c>
      <c r="N27">
        <f t="shared" ca="1" si="4"/>
        <v>5385014</v>
      </c>
      <c r="O27">
        <f t="shared" ca="1" si="5"/>
        <v>4.513860131097152E-2</v>
      </c>
      <c r="P27">
        <f t="shared" ca="1" si="6"/>
        <v>0.36653609442798113</v>
      </c>
      <c r="Q27">
        <f t="shared" ca="1" si="7"/>
        <v>0.23066328146964893</v>
      </c>
      <c r="R27">
        <f t="shared" ca="1" si="8"/>
        <v>0.35766202279139853</v>
      </c>
      <c r="S27" cm="1">
        <f t="array" aca="1" ref="S27" ca="1">SUMPRODUCT(O26:R26*(B27:E27-B26:E26)/B26:E26)</f>
        <v>-3.5789399046785818E-2</v>
      </c>
      <c r="T27">
        <f t="shared" ca="1" si="9"/>
        <v>1224.7647934599324</v>
      </c>
    </row>
    <row r="28" spans="1:20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0"/>
        <v>241392</v>
      </c>
      <c r="K28">
        <f t="shared" ca="1" si="1"/>
        <v>1950788</v>
      </c>
      <c r="L28">
        <f t="shared" ca="1" si="2"/>
        <v>1187625</v>
      </c>
      <c r="M28">
        <f t="shared" ca="1" si="3"/>
        <v>1868159.9999999998</v>
      </c>
      <c r="N28">
        <f t="shared" ca="1" si="4"/>
        <v>5247965</v>
      </c>
      <c r="O28">
        <f t="shared" ca="1" si="5"/>
        <v>4.5997257984761709E-2</v>
      </c>
      <c r="P28">
        <f t="shared" ca="1" si="6"/>
        <v>0.37172275348635136</v>
      </c>
      <c r="Q28">
        <f t="shared" ca="1" si="7"/>
        <v>0.22630200468181477</v>
      </c>
      <c r="R28">
        <f t="shared" ca="1" si="8"/>
        <v>0.35597798384707213</v>
      </c>
      <c r="S28" cm="1">
        <f t="array" aca="1" ref="S28" ca="1">SUMPRODUCT(O27:R27*(B28:E28-B27:E27)/B27:E27)</f>
        <v>-2.5450073110302084E-2</v>
      </c>
      <c r="T28">
        <f t="shared" ca="1" si="9"/>
        <v>1193.5944399234531</v>
      </c>
    </row>
    <row r="29" spans="1:20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0"/>
        <v>241616</v>
      </c>
      <c r="K29">
        <f t="shared" ca="1" si="1"/>
        <v>1946940.0000000002</v>
      </c>
      <c r="L29">
        <f t="shared" ca="1" si="2"/>
        <v>1182125</v>
      </c>
      <c r="M29">
        <f t="shared" ca="1" si="3"/>
        <v>1828575</v>
      </c>
      <c r="N29">
        <f t="shared" ca="1" si="4"/>
        <v>5199256</v>
      </c>
      <c r="O29">
        <f t="shared" ca="1" si="5"/>
        <v>4.6471264350130097E-2</v>
      </c>
      <c r="P29">
        <f t="shared" ca="1" si="6"/>
        <v>0.37446511577810371</v>
      </c>
      <c r="Q29">
        <f t="shared" ca="1" si="7"/>
        <v>0.22736426134816212</v>
      </c>
      <c r="R29">
        <f t="shared" ca="1" si="8"/>
        <v>0.35169935852360412</v>
      </c>
      <c r="S29" cm="1">
        <f t="array" aca="1" ref="S29" ca="1">SUMPRODUCT(O28:R28*(B29:E29-B28:E28)/B28:E28)</f>
        <v>-9.2815024490445052E-3</v>
      </c>
      <c r="T29">
        <f t="shared" ca="1" si="9"/>
        <v>1182.5160902061377</v>
      </c>
    </row>
    <row r="30" spans="1:20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0"/>
        <v>246160</v>
      </c>
      <c r="K30">
        <f t="shared" ca="1" si="1"/>
        <v>2007768</v>
      </c>
      <c r="L30">
        <f t="shared" ca="1" si="2"/>
        <v>1182625</v>
      </c>
      <c r="M30">
        <f t="shared" ca="1" si="3"/>
        <v>1884015</v>
      </c>
      <c r="N30">
        <f t="shared" ca="1" si="4"/>
        <v>5320568</v>
      </c>
      <c r="O30">
        <f t="shared" ca="1" si="5"/>
        <v>4.6265737041609092E-2</v>
      </c>
      <c r="P30">
        <f t="shared" ca="1" si="6"/>
        <v>0.37735971046700278</v>
      </c>
      <c r="Q30">
        <f t="shared" ca="1" si="7"/>
        <v>0.22227420079961388</v>
      </c>
      <c r="R30">
        <f t="shared" ca="1" si="8"/>
        <v>0.35410035169177428</v>
      </c>
      <c r="S30" cm="1">
        <f t="array" aca="1" ref="S30" ca="1">SUMPRODUCT(O29:R29*(B30:E30-B29:E29)/B29:E29)</f>
        <v>2.3332569121428122E-2</v>
      </c>
      <c r="T30">
        <f t="shared" ca="1" si="9"/>
        <v>1210.1072286180733</v>
      </c>
    </row>
    <row r="31" spans="1:20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0"/>
        <v>245119.99999999997</v>
      </c>
      <c r="K31">
        <f t="shared" ca="1" si="1"/>
        <v>2014058.0000000002</v>
      </c>
      <c r="L31">
        <f t="shared" ca="1" si="2"/>
        <v>1183500</v>
      </c>
      <c r="M31">
        <f t="shared" ca="1" si="3"/>
        <v>1884540</v>
      </c>
      <c r="N31">
        <f t="shared" ca="1" si="4"/>
        <v>5327218</v>
      </c>
      <c r="O31">
        <f t="shared" ca="1" si="5"/>
        <v>4.6012759380224345E-2</v>
      </c>
      <c r="P31">
        <f t="shared" ca="1" si="6"/>
        <v>0.37806937880146829</v>
      </c>
      <c r="Q31">
        <f t="shared" ca="1" si="7"/>
        <v>0.22216098533981526</v>
      </c>
      <c r="R31">
        <f t="shared" ca="1" si="8"/>
        <v>0.35375687647849213</v>
      </c>
      <c r="S31" cm="1">
        <f t="array" aca="1" ref="S31" ca="1">SUMPRODUCT(O30:R30*(B31:E31-B30:E30)/B30:E30)</f>
        <v>1.2498665556008441E-3</v>
      </c>
      <c r="T31">
        <f t="shared" ca="1" si="9"/>
        <v>1211.6197011718139</v>
      </c>
    </row>
    <row r="32" spans="1:20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0"/>
        <v>248528.00000000003</v>
      </c>
      <c r="K32">
        <f t="shared" ca="1" si="1"/>
        <v>1992968</v>
      </c>
      <c r="L32">
        <f t="shared" ca="1" si="2"/>
        <v>1211750</v>
      </c>
      <c r="M32">
        <f t="shared" ca="1" si="3"/>
        <v>1860180</v>
      </c>
      <c r="N32">
        <f t="shared" ca="1" si="4"/>
        <v>5313426</v>
      </c>
      <c r="O32">
        <f t="shared" ca="1" si="5"/>
        <v>4.6773588264897269E-2</v>
      </c>
      <c r="P32">
        <f t="shared" ca="1" si="6"/>
        <v>0.37508153872849648</v>
      </c>
      <c r="Q32">
        <f t="shared" ca="1" si="7"/>
        <v>0.22805436642949389</v>
      </c>
      <c r="R32">
        <f t="shared" ca="1" si="8"/>
        <v>0.35009050657711238</v>
      </c>
      <c r="S32" cm="1">
        <f t="array" aca="1" ref="S32" ca="1">SUMPRODUCT(O31:R31*(B32:E32-B31:E31)/B31:E31)</f>
        <v>-2.5889685760935961E-3</v>
      </c>
      <c r="T32">
        <f t="shared" ca="1" si="9"/>
        <v>1208.4828558393042</v>
      </c>
    </row>
    <row r="33" spans="1:20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0"/>
        <v>245936</v>
      </c>
      <c r="K33">
        <f t="shared" ca="1" si="1"/>
        <v>1939909.9999999998</v>
      </c>
      <c r="L33">
        <f t="shared" ca="1" si="2"/>
        <v>1193875</v>
      </c>
      <c r="M33">
        <f t="shared" ca="1" si="3"/>
        <v>1810620</v>
      </c>
      <c r="N33">
        <f t="shared" ca="1" si="4"/>
        <v>5190341</v>
      </c>
      <c r="O33">
        <f t="shared" ca="1" si="5"/>
        <v>4.7383399279546372E-2</v>
      </c>
      <c r="P33">
        <f t="shared" ca="1" si="6"/>
        <v>0.37375386318548237</v>
      </c>
      <c r="Q33">
        <f t="shared" ca="1" si="7"/>
        <v>0.23001860571395982</v>
      </c>
      <c r="R33">
        <f t="shared" ca="1" si="8"/>
        <v>0.34884413182101137</v>
      </c>
      <c r="S33" cm="1">
        <f t="array" aca="1" ref="S33" ca="1">SUMPRODUCT(O32:R32*(B33:E33-B32:E32)/B32:E32)</f>
        <v>-2.3164903397544262E-2</v>
      </c>
      <c r="T33">
        <f t="shared" ca="1" si="9"/>
        <v>1180.4884672261983</v>
      </c>
    </row>
    <row r="34" spans="1:20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0"/>
        <v>244080.00000000003</v>
      </c>
      <c r="K34">
        <f t="shared" ca="1" si="1"/>
        <v>1909644</v>
      </c>
      <c r="L34">
        <f t="shared" ca="1" si="2"/>
        <v>1179375</v>
      </c>
      <c r="M34">
        <f t="shared" ca="1" si="3"/>
        <v>1815240</v>
      </c>
      <c r="N34">
        <f t="shared" ca="1" si="4"/>
        <v>5148339</v>
      </c>
      <c r="O34">
        <f t="shared" ca="1" si="5"/>
        <v>4.7409465460607786E-2</v>
      </c>
      <c r="P34">
        <f t="shared" ca="1" si="6"/>
        <v>0.37092429228145235</v>
      </c>
      <c r="Q34">
        <f t="shared" ca="1" si="7"/>
        <v>0.22907873782204319</v>
      </c>
      <c r="R34">
        <f t="shared" ca="1" si="8"/>
        <v>0.3525875044358967</v>
      </c>
      <c r="S34" cm="1">
        <f t="array" aca="1" ref="S34" ca="1">SUMPRODUCT(O33:R33*(B34:E34-B33:E33)/B33:E33)</f>
        <v>-8.0923392123947082E-3</v>
      </c>
      <c r="T34">
        <f t="shared" ca="1" si="9"/>
        <v>1170.935554113084</v>
      </c>
    </row>
    <row r="35" spans="1:20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0"/>
        <v>237567.99999999997</v>
      </c>
      <c r="K35">
        <f t="shared" ca="1" si="1"/>
        <v>1869758</v>
      </c>
      <c r="L35">
        <f t="shared" ca="1" si="2"/>
        <v>1147375</v>
      </c>
      <c r="M35">
        <f t="shared" ca="1" si="3"/>
        <v>1806840.0000000002</v>
      </c>
      <c r="N35">
        <f t="shared" ca="1" si="4"/>
        <v>5061541</v>
      </c>
      <c r="O35">
        <f t="shared" ca="1" si="5"/>
        <v>4.6935903512388813E-2</v>
      </c>
      <c r="P35">
        <f t="shared" ca="1" si="6"/>
        <v>0.36940489072399096</v>
      </c>
      <c r="Q35">
        <f t="shared" ca="1" si="7"/>
        <v>0.22668491670817248</v>
      </c>
      <c r="R35">
        <f t="shared" ca="1" si="8"/>
        <v>0.35697428905544776</v>
      </c>
      <c r="S35" cm="1">
        <f t="array" aca="1" ref="S35" ca="1">SUMPRODUCT(O34:R34*(B35:E35-B34:E34)/B34:E34)</f>
        <v>-1.6859418154088108E-2</v>
      </c>
      <c r="T35">
        <f t="shared" ca="1" si="9"/>
        <v>1151.1942619748027</v>
      </c>
    </row>
    <row r="36" spans="1:20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0"/>
        <v>238256</v>
      </c>
      <c r="K36">
        <f t="shared" ca="1" si="1"/>
        <v>1861174</v>
      </c>
      <c r="L36">
        <f t="shared" ca="1" si="2"/>
        <v>1145625</v>
      </c>
      <c r="M36">
        <f t="shared" ca="1" si="3"/>
        <v>1796760</v>
      </c>
      <c r="N36">
        <f t="shared" ca="1" si="4"/>
        <v>5041815</v>
      </c>
      <c r="O36">
        <f t="shared" ca="1" si="5"/>
        <v>4.7255998087990136E-2</v>
      </c>
      <c r="P36">
        <f t="shared" ca="1" si="6"/>
        <v>0.36914761846676247</v>
      </c>
      <c r="Q36">
        <f t="shared" ca="1" si="7"/>
        <v>0.22722471966940477</v>
      </c>
      <c r="R36">
        <f t="shared" ca="1" si="8"/>
        <v>0.35637166377584262</v>
      </c>
      <c r="S36" cm="1">
        <f t="array" aca="1" ref="S36" ca="1">SUMPRODUCT(O35:R35*(B36:E36-B35:E35)/B35:E35)</f>
        <v>-3.8972320880143133E-3</v>
      </c>
      <c r="T36">
        <f t="shared" ca="1" si="9"/>
        <v>1146.7077907574965</v>
      </c>
    </row>
    <row r="37" spans="1:20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0"/>
        <v>239040</v>
      </c>
      <c r="K37">
        <f t="shared" ca="1" si="1"/>
        <v>1885298</v>
      </c>
      <c r="L37">
        <f t="shared" ca="1" si="2"/>
        <v>1136125</v>
      </c>
      <c r="M37">
        <f t="shared" ca="1" si="3"/>
        <v>1806420</v>
      </c>
      <c r="N37">
        <f t="shared" ca="1" si="4"/>
        <v>5066883</v>
      </c>
      <c r="O37">
        <f t="shared" ca="1" si="5"/>
        <v>4.7176933037530171E-2</v>
      </c>
      <c r="P37">
        <f t="shared" ca="1" si="6"/>
        <v>0.37208240253426023</v>
      </c>
      <c r="Q37">
        <f t="shared" ca="1" si="7"/>
        <v>0.22422562352436398</v>
      </c>
      <c r="R37">
        <f t="shared" ca="1" si="8"/>
        <v>0.35651504090384561</v>
      </c>
      <c r="S37" cm="1">
        <f t="array" aca="1" ref="S37" ca="1">SUMPRODUCT(O36:R36*(B37:E37-B36:E36)/B36:E36)</f>
        <v>4.97201900506067E-3</v>
      </c>
      <c r="T37">
        <f t="shared" ca="1" si="9"/>
        <v>1152.4092436863939</v>
      </c>
    </row>
    <row r="38" spans="1:20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0"/>
        <v>234736</v>
      </c>
      <c r="K38">
        <f t="shared" ca="1" si="1"/>
        <v>1844228</v>
      </c>
      <c r="L38">
        <f t="shared" ca="1" si="2"/>
        <v>1114125</v>
      </c>
      <c r="M38">
        <f t="shared" ca="1" si="3"/>
        <v>1789094.9999999998</v>
      </c>
      <c r="N38">
        <f t="shared" ca="1" si="4"/>
        <v>4982184</v>
      </c>
      <c r="O38">
        <f t="shared" ca="1" si="5"/>
        <v>4.7115080454676099E-2</v>
      </c>
      <c r="P38">
        <f t="shared" ca="1" si="6"/>
        <v>0.37016457039723943</v>
      </c>
      <c r="Q38">
        <f t="shared" ca="1" si="7"/>
        <v>0.22362180923065064</v>
      </c>
      <c r="R38">
        <f t="shared" ca="1" si="8"/>
        <v>0.35909853991743373</v>
      </c>
      <c r="S38" cm="1">
        <f t="array" aca="1" ref="S38" ca="1">SUMPRODUCT(O37:R37*(B38:E38-B37:E37)/B37:E37)</f>
        <v>-1.6716194157236353E-2</v>
      </c>
      <c r="T38">
        <f t="shared" ca="1" si="9"/>
        <v>1133.1453470203382</v>
      </c>
    </row>
    <row r="39" spans="1:20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0"/>
        <v>236671.99999999997</v>
      </c>
      <c r="K39">
        <f t="shared" ca="1" si="1"/>
        <v>1851184</v>
      </c>
      <c r="L39">
        <f t="shared" ca="1" si="2"/>
        <v>1123375</v>
      </c>
      <c r="M39">
        <f t="shared" ca="1" si="3"/>
        <v>1780170</v>
      </c>
      <c r="N39">
        <f t="shared" ca="1" si="4"/>
        <v>4991401</v>
      </c>
      <c r="O39">
        <f t="shared" ca="1" si="5"/>
        <v>4.7415945943834199E-2</v>
      </c>
      <c r="P39">
        <f t="shared" ca="1" si="6"/>
        <v>0.37087463018899902</v>
      </c>
      <c r="Q39">
        <f t="shared" ca="1" si="7"/>
        <v>0.22506206173376975</v>
      </c>
      <c r="R39">
        <f t="shared" ca="1" si="8"/>
        <v>0.35664736213339704</v>
      </c>
      <c r="S39" cm="1">
        <f t="array" aca="1" ref="S39" ca="1">SUMPRODUCT(O38:R38*(B39:E39-B38:E38)/B38:E38)</f>
        <v>1.8499918911064155E-3</v>
      </c>
      <c r="T39">
        <f t="shared" ca="1" si="9"/>
        <v>1135.2416567237708</v>
      </c>
    </row>
    <row r="40" spans="1:20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0"/>
        <v>235856</v>
      </c>
      <c r="K40">
        <f t="shared" ca="1" si="1"/>
        <v>1845708</v>
      </c>
      <c r="L40">
        <f t="shared" ca="1" si="2"/>
        <v>1125750</v>
      </c>
      <c r="M40">
        <f t="shared" ca="1" si="3"/>
        <v>1836870</v>
      </c>
      <c r="N40">
        <f t="shared" ca="1" si="4"/>
        <v>5044184</v>
      </c>
      <c r="O40">
        <f t="shared" ca="1" si="5"/>
        <v>4.6758008827592332E-2</v>
      </c>
      <c r="P40">
        <f t="shared" ca="1" si="6"/>
        <v>0.36590814292262136</v>
      </c>
      <c r="Q40">
        <f t="shared" ca="1" si="7"/>
        <v>0.22317782222060098</v>
      </c>
      <c r="R40">
        <f t="shared" ca="1" si="8"/>
        <v>0.36415602602918529</v>
      </c>
      <c r="S40" cm="1">
        <f t="array" aca="1" ref="S40" ca="1">SUMPRODUCT(O39:R39*(B40:E40-B39:E39)/B39:E39)</f>
        <v>1.05747865178534E-2</v>
      </c>
      <c r="T40">
        <f t="shared" ca="1" si="9"/>
        <v>1147.2465948897989</v>
      </c>
    </row>
    <row r="41" spans="1:20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0"/>
        <v>232496</v>
      </c>
      <c r="K41">
        <f t="shared" ca="1" si="1"/>
        <v>1822398</v>
      </c>
      <c r="L41">
        <f t="shared" ca="1" si="2"/>
        <v>1129500</v>
      </c>
      <c r="M41">
        <f t="shared" ca="1" si="3"/>
        <v>1820909.9999999998</v>
      </c>
      <c r="N41">
        <f t="shared" ca="1" si="4"/>
        <v>5005304</v>
      </c>
      <c r="O41">
        <f t="shared" ca="1" si="5"/>
        <v>4.6449925918585565E-2</v>
      </c>
      <c r="P41">
        <f t="shared" ca="1" si="6"/>
        <v>0.36409336975336565</v>
      </c>
      <c r="Q41">
        <f t="shared" ca="1" si="7"/>
        <v>0.22566061921513658</v>
      </c>
      <c r="R41">
        <f t="shared" ca="1" si="8"/>
        <v>0.36379608511291217</v>
      </c>
      <c r="S41" cm="1">
        <f t="array" aca="1" ref="S41" ca="1">SUMPRODUCT(O40:R40*(B41:E41-B40:E40)/B40:E40)</f>
        <v>-7.7078869446475318E-3</v>
      </c>
      <c r="T41">
        <f t="shared" ca="1" si="9"/>
        <v>1138.4037478387565</v>
      </c>
    </row>
    <row r="42" spans="1:20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0"/>
        <v>233456</v>
      </c>
      <c r="K42">
        <f t="shared" ca="1" si="1"/>
        <v>1858214</v>
      </c>
      <c r="L42">
        <f t="shared" ca="1" si="2"/>
        <v>1150000</v>
      </c>
      <c r="M42">
        <f t="shared" ca="1" si="3"/>
        <v>1832565</v>
      </c>
      <c r="N42">
        <f t="shared" ca="1" si="4"/>
        <v>5074235</v>
      </c>
      <c r="O42">
        <f t="shared" ca="1" si="5"/>
        <v>4.600811747977774E-2</v>
      </c>
      <c r="P42">
        <f t="shared" ca="1" si="6"/>
        <v>0.36620574332879735</v>
      </c>
      <c r="Q42">
        <f t="shared" ca="1" si="7"/>
        <v>0.22663514795826367</v>
      </c>
      <c r="R42">
        <f t="shared" ca="1" si="8"/>
        <v>0.36115099123316124</v>
      </c>
      <c r="S42" cm="1">
        <f t="array" aca="1" ref="S42" ca="1">SUMPRODUCT(O41:R41*(B42:E42-B41:E41)/B41:E41)</f>
        <v>1.3771591096165221E-2</v>
      </c>
      <c r="T42">
        <f t="shared" ca="1" si="9"/>
        <v>1154.0813787563341</v>
      </c>
    </row>
    <row r="43" spans="1:20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0"/>
        <v>241648</v>
      </c>
      <c r="K43">
        <f t="shared" ca="1" si="1"/>
        <v>1889146</v>
      </c>
      <c r="L43">
        <f t="shared" ca="1" si="2"/>
        <v>1170625</v>
      </c>
      <c r="M43">
        <f t="shared" ca="1" si="3"/>
        <v>1945125</v>
      </c>
      <c r="N43">
        <f t="shared" ca="1" si="4"/>
        <v>5246544</v>
      </c>
      <c r="O43">
        <f t="shared" ca="1" si="5"/>
        <v>4.6058510135433918E-2</v>
      </c>
      <c r="P43">
        <f t="shared" ca="1" si="6"/>
        <v>0.36007436514398811</v>
      </c>
      <c r="Q43">
        <f t="shared" ca="1" si="7"/>
        <v>0.22312306920517583</v>
      </c>
      <c r="R43">
        <f t="shared" ca="1" si="8"/>
        <v>0.37074405551540213</v>
      </c>
      <c r="S43" cm="1">
        <f t="array" aca="1" ref="S43" ca="1">SUMPRODUCT(O42:R42*(B43:E43-B42:E42)/B42:E42)</f>
        <v>3.3957631051774288E-2</v>
      </c>
      <c r="T43">
        <f t="shared" ca="1" si="9"/>
        <v>1193.2712484198646</v>
      </c>
    </row>
    <row r="44" spans="1:20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0"/>
        <v>246128.00000000003</v>
      </c>
      <c r="K44">
        <f t="shared" ca="1" si="1"/>
        <v>1900838</v>
      </c>
      <c r="L44">
        <f t="shared" ca="1" si="2"/>
        <v>1189125</v>
      </c>
      <c r="M44">
        <f t="shared" ca="1" si="3"/>
        <v>1941450</v>
      </c>
      <c r="N44">
        <f t="shared" ca="1" si="4"/>
        <v>5277541</v>
      </c>
      <c r="O44">
        <f t="shared" ca="1" si="5"/>
        <v>4.6636871224685898E-2</v>
      </c>
      <c r="P44">
        <f t="shared" ca="1" si="6"/>
        <v>0.36017493753246066</v>
      </c>
      <c r="Q44">
        <f t="shared" ca="1" si="7"/>
        <v>0.22531800321399681</v>
      </c>
      <c r="R44">
        <f t="shared" ca="1" si="8"/>
        <v>0.36787018802885663</v>
      </c>
      <c r="S44" cm="1">
        <f t="array" aca="1" ref="S44" ca="1">SUMPRODUCT(O43:R43*(B44:E44-B43:E43)/B43:E43)</f>
        <v>5.9080796806431132E-3</v>
      </c>
      <c r="T44">
        <f t="shared" ca="1" si="9"/>
        <v>1200.3211900361498</v>
      </c>
    </row>
    <row r="45" spans="1:20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0"/>
        <v>242560</v>
      </c>
      <c r="K45">
        <f t="shared" ca="1" si="1"/>
        <v>1880710</v>
      </c>
      <c r="L45">
        <f t="shared" ca="1" si="2"/>
        <v>1173250</v>
      </c>
      <c r="M45">
        <f t="shared" ca="1" si="3"/>
        <v>1937355</v>
      </c>
      <c r="N45">
        <f t="shared" ca="1" si="4"/>
        <v>5233875</v>
      </c>
      <c r="O45">
        <f t="shared" ca="1" si="5"/>
        <v>4.6344247808745909E-2</v>
      </c>
      <c r="P45">
        <f t="shared" ca="1" si="6"/>
        <v>0.35933414535119773</v>
      </c>
      <c r="Q45">
        <f t="shared" ca="1" si="7"/>
        <v>0.22416469632920161</v>
      </c>
      <c r="R45">
        <f t="shared" ca="1" si="8"/>
        <v>0.37015691051085475</v>
      </c>
      <c r="S45" cm="1">
        <f t="array" aca="1" ref="S45" ca="1">SUMPRODUCT(O44:R44*(B45:E45-B44:E44)/B44:E44)</f>
        <v>-8.273929089324011E-3</v>
      </c>
      <c r="T45">
        <f t="shared" ca="1" si="9"/>
        <v>1190.3898176253776</v>
      </c>
    </row>
    <row r="46" spans="1:20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0"/>
        <v>244592</v>
      </c>
      <c r="K46">
        <f t="shared" ca="1" si="1"/>
        <v>1877380</v>
      </c>
      <c r="L46">
        <f t="shared" ca="1" si="2"/>
        <v>1178125</v>
      </c>
      <c r="M46">
        <f t="shared" ca="1" si="3"/>
        <v>1942185</v>
      </c>
      <c r="N46">
        <f t="shared" ca="1" si="4"/>
        <v>5242282</v>
      </c>
      <c r="O46">
        <f t="shared" ca="1" si="5"/>
        <v>4.6657543413345562E-2</v>
      </c>
      <c r="P46">
        <f t="shared" ca="1" si="6"/>
        <v>0.3581226649005147</v>
      </c>
      <c r="Q46">
        <f t="shared" ca="1" si="7"/>
        <v>0.22473514396974448</v>
      </c>
      <c r="R46">
        <f t="shared" ca="1" si="8"/>
        <v>0.37048464771639528</v>
      </c>
      <c r="S46" cm="1">
        <f t="array" aca="1" ref="S46" ca="1">SUMPRODUCT(O45:R45*(B46:E46-B45:E45)/B45:E45)</f>
        <v>1.6062668672828413E-3</v>
      </c>
      <c r="T46">
        <f t="shared" ca="1" si="9"/>
        <v>1192.3019013485803</v>
      </c>
    </row>
    <row r="47" spans="1:20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0"/>
        <v>240944</v>
      </c>
      <c r="K47">
        <f t="shared" ca="1" si="1"/>
        <v>1867168</v>
      </c>
      <c r="L47">
        <f t="shared" ca="1" si="2"/>
        <v>1154000</v>
      </c>
      <c r="M47">
        <f t="shared" ca="1" si="3"/>
        <v>1907745</v>
      </c>
      <c r="N47">
        <f t="shared" ca="1" si="4"/>
        <v>5169857</v>
      </c>
      <c r="O47">
        <f t="shared" ca="1" si="5"/>
        <v>4.6605544408675134E-2</v>
      </c>
      <c r="P47">
        <f t="shared" ca="1" si="6"/>
        <v>0.36116434168295175</v>
      </c>
      <c r="Q47">
        <f t="shared" ca="1" si="7"/>
        <v>0.22321700580886472</v>
      </c>
      <c r="R47">
        <f t="shared" ca="1" si="8"/>
        <v>0.36901310809950838</v>
      </c>
      <c r="S47" cm="1">
        <f t="array" aca="1" ref="S47" ca="1">SUMPRODUCT(O46:R46*(B47:E47-B46:E46)/B46:E46)</f>
        <v>-1.3815548266957037E-2</v>
      </c>
      <c r="T47">
        <f t="shared" ca="1" si="9"/>
        <v>1175.8295968817142</v>
      </c>
    </row>
    <row r="48" spans="1:20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0"/>
        <v>237600</v>
      </c>
      <c r="K48">
        <f t="shared" ca="1" si="1"/>
        <v>1839566</v>
      </c>
      <c r="L48">
        <f t="shared" ca="1" si="2"/>
        <v>1132875</v>
      </c>
      <c r="M48">
        <f t="shared" ca="1" si="3"/>
        <v>1884855</v>
      </c>
      <c r="N48">
        <f t="shared" ca="1" si="4"/>
        <v>5094896</v>
      </c>
      <c r="O48">
        <f t="shared" ca="1" si="5"/>
        <v>4.6634906777292415E-2</v>
      </c>
      <c r="P48">
        <f t="shared" ca="1" si="6"/>
        <v>0.36106055943045745</v>
      </c>
      <c r="Q48">
        <f t="shared" ca="1" si="7"/>
        <v>0.22235488221938191</v>
      </c>
      <c r="R48">
        <f t="shared" ca="1" si="8"/>
        <v>0.36994965157286824</v>
      </c>
      <c r="S48" cm="1">
        <f t="array" aca="1" ref="S48" ca="1">SUMPRODUCT(O47:R47*(B48:E48-B47:E47)/B47:E47)</f>
        <v>-1.4499627359131979E-2</v>
      </c>
      <c r="T48">
        <f t="shared" ca="1" si="9"/>
        <v>1158.780505889091</v>
      </c>
    </row>
    <row r="49" spans="1:20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0"/>
        <v>240752</v>
      </c>
      <c r="K49">
        <f t="shared" ca="1" si="1"/>
        <v>1879008</v>
      </c>
      <c r="L49">
        <f t="shared" ca="1" si="2"/>
        <v>1138875</v>
      </c>
      <c r="M49">
        <f t="shared" ca="1" si="3"/>
        <v>1899450</v>
      </c>
      <c r="N49">
        <f t="shared" ca="1" si="4"/>
        <v>5158085</v>
      </c>
      <c r="O49">
        <f t="shared" ca="1" si="5"/>
        <v>4.6674686438862488E-2</v>
      </c>
      <c r="P49">
        <f t="shared" ca="1" si="6"/>
        <v>0.36428403176760366</v>
      </c>
      <c r="Q49">
        <f t="shared" ca="1" si="7"/>
        <v>0.22079415131778557</v>
      </c>
      <c r="R49">
        <f t="shared" ca="1" si="8"/>
        <v>0.36824713047574825</v>
      </c>
      <c r="S49" cm="1">
        <f t="array" aca="1" ref="S49" ca="1">SUMPRODUCT(O48:R48*(B49:E49-B48:E48)/B48:E48)</f>
        <v>1.2402412139521609E-2</v>
      </c>
      <c r="T49">
        <f t="shared" ca="1" si="9"/>
        <v>1173.152179302371</v>
      </c>
    </row>
    <row r="50" spans="1:20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0"/>
        <v>244144</v>
      </c>
      <c r="K50">
        <f t="shared" ca="1" si="1"/>
        <v>1929846.0000000002</v>
      </c>
      <c r="L50">
        <f t="shared" ca="1" si="2"/>
        <v>1174625</v>
      </c>
      <c r="M50">
        <f t="shared" ca="1" si="3"/>
        <v>2037210</v>
      </c>
      <c r="N50">
        <f t="shared" ca="1" si="4"/>
        <v>5385825</v>
      </c>
      <c r="O50">
        <f t="shared" ca="1" si="5"/>
        <v>4.5330845320819005E-2</v>
      </c>
      <c r="P50">
        <f t="shared" ca="1" si="6"/>
        <v>0.35831947751737203</v>
      </c>
      <c r="Q50">
        <f t="shared" ca="1" si="7"/>
        <v>0.21809564922736999</v>
      </c>
      <c r="R50">
        <f t="shared" ca="1" si="8"/>
        <v>0.37825402793443902</v>
      </c>
      <c r="S50" cm="1">
        <f t="array" aca="1" ref="S50" ca="1">SUMPRODUCT(O49:R49*(B50:E50-B49:E49)/B49:E49)</f>
        <v>4.4152044799571986E-2</v>
      </c>
      <c r="T50">
        <f t="shared" ca="1" si="9"/>
        <v>1224.9492468796448</v>
      </c>
    </row>
    <row r="51" spans="1:20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0"/>
        <v>244784</v>
      </c>
      <c r="K51">
        <f t="shared" ca="1" si="1"/>
        <v>1964256</v>
      </c>
      <c r="L51">
        <f t="shared" ca="1" si="2"/>
        <v>1201375</v>
      </c>
      <c r="M51">
        <f t="shared" ca="1" si="3"/>
        <v>2076375</v>
      </c>
      <c r="N51">
        <f t="shared" ca="1" si="4"/>
        <v>5486790</v>
      </c>
      <c r="O51">
        <f t="shared" ca="1" si="5"/>
        <v>4.4613334937185493E-2</v>
      </c>
      <c r="P51">
        <f t="shared" ca="1" si="6"/>
        <v>0.35799729896715565</v>
      </c>
      <c r="Q51">
        <f t="shared" ca="1" si="7"/>
        <v>0.21895771480227966</v>
      </c>
      <c r="R51">
        <f t="shared" ca="1" si="8"/>
        <v>0.37843165129337919</v>
      </c>
      <c r="S51" cm="1">
        <f t="array" aca="1" ref="S51" ca="1">SUMPRODUCT(O50:R50*(B51:E51-B50:E50)/B50:E50)</f>
        <v>1.8746431605185784E-2</v>
      </c>
      <c r="T51">
        <f t="shared" ca="1" si="9"/>
        <v>1247.9126741560979</v>
      </c>
    </row>
    <row r="52" spans="1:20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0"/>
        <v>249360</v>
      </c>
      <c r="K52">
        <f t="shared" ca="1" si="1"/>
        <v>2043880</v>
      </c>
      <c r="L52">
        <f t="shared" ca="1" si="2"/>
        <v>1254000</v>
      </c>
      <c r="M52">
        <f t="shared" ca="1" si="3"/>
        <v>2151765</v>
      </c>
      <c r="N52">
        <f t="shared" ca="1" si="4"/>
        <v>5699005</v>
      </c>
      <c r="O52">
        <f t="shared" ca="1" si="5"/>
        <v>4.3755006356372736E-2</v>
      </c>
      <c r="P52">
        <f t="shared" ca="1" si="6"/>
        <v>0.35863804295662138</v>
      </c>
      <c r="Q52">
        <f t="shared" ca="1" si="7"/>
        <v>0.22003841021371273</v>
      </c>
      <c r="R52">
        <f t="shared" ca="1" si="8"/>
        <v>0.37756854047329313</v>
      </c>
      <c r="S52" cm="1">
        <f t="array" aca="1" ref="S52" ca="1">SUMPRODUCT(O51:R51*(B52:E52-B51:E51)/B51:E51)</f>
        <v>3.8677441637095626E-2</v>
      </c>
      <c r="T52">
        <f t="shared" ca="1" si="9"/>
        <v>1296.1787437789624</v>
      </c>
    </row>
    <row r="53" spans="1:20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0"/>
        <v>248000</v>
      </c>
      <c r="K53">
        <f t="shared" ca="1" si="1"/>
        <v>2067782</v>
      </c>
      <c r="L53">
        <f t="shared" ca="1" si="2"/>
        <v>1270250</v>
      </c>
      <c r="M53">
        <f t="shared" ca="1" si="3"/>
        <v>2053905.0000000002</v>
      </c>
      <c r="N53">
        <f t="shared" ca="1" si="4"/>
        <v>5639937</v>
      </c>
      <c r="O53">
        <f t="shared" ca="1" si="5"/>
        <v>4.3972122383636555E-2</v>
      </c>
      <c r="P53">
        <f t="shared" ca="1" si="6"/>
        <v>0.36663210954306757</v>
      </c>
      <c r="Q53">
        <f t="shared" ca="1" si="7"/>
        <v>0.22522414700731586</v>
      </c>
      <c r="R53">
        <f t="shared" ca="1" si="8"/>
        <v>0.36417162106598006</v>
      </c>
      <c r="S53" cm="1">
        <f t="array" aca="1" ref="S53" ca="1">SUMPRODUCT(O52:R52*(B53:E53-B52:E52)/B52:E52)</f>
        <v>-1.0364616279508377E-2</v>
      </c>
      <c r="T53">
        <f t="shared" ca="1" si="9"/>
        <v>1282.7443484700382</v>
      </c>
    </row>
    <row r="54" spans="1:20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0"/>
        <v>251840</v>
      </c>
      <c r="K54">
        <f t="shared" ca="1" si="1"/>
        <v>2014502.0000000002</v>
      </c>
      <c r="L54">
        <f t="shared" ca="1" si="2"/>
        <v>1265250</v>
      </c>
      <c r="M54">
        <f t="shared" ca="1" si="3"/>
        <v>2077005</v>
      </c>
      <c r="N54">
        <f t="shared" ca="1" si="4"/>
        <v>5608597</v>
      </c>
      <c r="O54">
        <f t="shared" ca="1" si="5"/>
        <v>4.4902495222958611E-2</v>
      </c>
      <c r="P54">
        <f t="shared" ca="1" si="6"/>
        <v>0.35918109288294386</v>
      </c>
      <c r="Q54">
        <f t="shared" ca="1" si="7"/>
        <v>0.22559117725876898</v>
      </c>
      <c r="R54">
        <f t="shared" ca="1" si="8"/>
        <v>0.37032523463532857</v>
      </c>
      <c r="S54" cm="1">
        <f t="array" aca="1" ref="S54" ca="1">SUMPRODUCT(O53:R53*(B54:E54-B53:E53)/B53:E53)</f>
        <v>-5.5567996592869873E-3</v>
      </c>
      <c r="T54">
        <f t="shared" ca="1" si="9"/>
        <v>1275.6163951115075</v>
      </c>
    </row>
    <row r="55" spans="1:20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0"/>
        <v>254848</v>
      </c>
      <c r="K55">
        <f t="shared" ca="1" si="1"/>
        <v>2025971.9999999998</v>
      </c>
      <c r="L55">
        <f t="shared" ca="1" si="2"/>
        <v>1311500</v>
      </c>
      <c r="M55">
        <f t="shared" ca="1" si="3"/>
        <v>2122680</v>
      </c>
      <c r="N55">
        <f t="shared" ca="1" si="4"/>
        <v>5715000</v>
      </c>
      <c r="O55">
        <f t="shared" ca="1" si="5"/>
        <v>4.4592825896762903E-2</v>
      </c>
      <c r="P55">
        <f t="shared" ca="1" si="6"/>
        <v>0.35450078740157476</v>
      </c>
      <c r="Q55">
        <f t="shared" ca="1" si="7"/>
        <v>0.22948381452318461</v>
      </c>
      <c r="R55">
        <f t="shared" ca="1" si="8"/>
        <v>0.37142257217847768</v>
      </c>
      <c r="S55" cm="1">
        <f t="array" aca="1" ref="S55" ca="1">SUMPRODUCT(O54:R54*(B55:E55-B54:E54)/B54:E54)</f>
        <v>1.8971411210325799E-2</v>
      </c>
      <c r="T55">
        <f t="shared" ca="1" si="9"/>
        <v>1299.8166382898014</v>
      </c>
    </row>
    <row r="56" spans="1:20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0"/>
        <v>252528.00000000003</v>
      </c>
      <c r="K56">
        <f t="shared" ca="1" si="1"/>
        <v>2014946.0000000002</v>
      </c>
      <c r="L56">
        <f t="shared" ca="1" si="2"/>
        <v>1292125</v>
      </c>
      <c r="M56">
        <f t="shared" ca="1" si="3"/>
        <v>2098005</v>
      </c>
      <c r="N56">
        <f t="shared" ca="1" si="4"/>
        <v>5657604</v>
      </c>
      <c r="O56">
        <f t="shared" ca="1" si="5"/>
        <v>4.4635149437818558E-2</v>
      </c>
      <c r="P56">
        <f t="shared" ca="1" si="6"/>
        <v>0.35614829175035939</v>
      </c>
      <c r="Q56">
        <f t="shared" ca="1" si="7"/>
        <v>0.22838731731665915</v>
      </c>
      <c r="R56">
        <f t="shared" ca="1" si="8"/>
        <v>0.37082924149516294</v>
      </c>
      <c r="S56" cm="1">
        <f t="array" aca="1" ref="S56" ca="1">SUMPRODUCT(O55:R55*(B56:E56-B55:E55)/B55:E55)</f>
        <v>-1.004304461942249E-2</v>
      </c>
      <c r="T56">
        <f t="shared" ca="1" si="9"/>
        <v>1286.7625217943892</v>
      </c>
    </row>
    <row r="57" spans="1:20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0"/>
        <v>254288</v>
      </c>
      <c r="K57">
        <f t="shared" ca="1" si="1"/>
        <v>2054684.0000000002</v>
      </c>
      <c r="L57">
        <f t="shared" ca="1" si="2"/>
        <v>1320000</v>
      </c>
      <c r="M57">
        <f t="shared" ca="1" si="3"/>
        <v>2144940</v>
      </c>
      <c r="N57">
        <f t="shared" ca="1" si="4"/>
        <v>5773912</v>
      </c>
      <c r="O57">
        <f t="shared" ca="1" si="5"/>
        <v>4.4040851332683977E-2</v>
      </c>
      <c r="P57">
        <f t="shared" ca="1" si="6"/>
        <v>0.35585647997406267</v>
      </c>
      <c r="Q57">
        <f t="shared" ca="1" si="7"/>
        <v>0.22861449914719864</v>
      </c>
      <c r="R57">
        <f t="shared" ca="1" si="8"/>
        <v>0.37148816954605474</v>
      </c>
      <c r="S57" cm="1">
        <f t="array" aca="1" ref="S57" ca="1">SUMPRODUCT(O56:R56*(B57:E57-B56:E56)/B56:E56)</f>
        <v>2.0557819175749996E-2</v>
      </c>
      <c r="T57">
        <f t="shared" ca="1" si="9"/>
        <v>1313.2155530395703</v>
      </c>
    </row>
    <row r="58" spans="1:20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0"/>
        <v>256400</v>
      </c>
      <c r="K58">
        <f t="shared" ca="1" si="1"/>
        <v>2076218</v>
      </c>
      <c r="L58">
        <f t="shared" ca="1" si="2"/>
        <v>1318000</v>
      </c>
      <c r="M58">
        <f t="shared" ca="1" si="3"/>
        <v>2163105</v>
      </c>
      <c r="N58">
        <f t="shared" ca="1" si="4"/>
        <v>5813723</v>
      </c>
      <c r="O58">
        <f t="shared" ca="1" si="5"/>
        <v>4.4102548401428826E-2</v>
      </c>
      <c r="P58">
        <f t="shared" ca="1" si="6"/>
        <v>0.35712365381013167</v>
      </c>
      <c r="Q58">
        <f t="shared" ca="1" si="7"/>
        <v>0.22670498749252416</v>
      </c>
      <c r="R58">
        <f t="shared" ca="1" si="8"/>
        <v>0.37206881029591538</v>
      </c>
      <c r="S58" cm="1">
        <f t="array" aca="1" ref="S58" ca="1">SUMPRODUCT(O57:R57*(B58:E58-B57:E57)/B57:E57)</f>
        <v>6.8949786557189804E-3</v>
      </c>
      <c r="T58">
        <f t="shared" ca="1" si="9"/>
        <v>1322.2701462481364</v>
      </c>
    </row>
    <row r="59" spans="1:20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0"/>
        <v>253248</v>
      </c>
      <c r="K59">
        <f t="shared" ca="1" si="1"/>
        <v>2045212</v>
      </c>
      <c r="L59">
        <f t="shared" ca="1" si="2"/>
        <v>1280750</v>
      </c>
      <c r="M59">
        <f t="shared" ca="1" si="3"/>
        <v>2129820</v>
      </c>
      <c r="N59">
        <f t="shared" ca="1" si="4"/>
        <v>5709030</v>
      </c>
      <c r="O59">
        <f t="shared" ca="1" si="5"/>
        <v>4.4359199373623891E-2</v>
      </c>
      <c r="P59">
        <f t="shared" ca="1" si="6"/>
        <v>0.35824159270489031</v>
      </c>
      <c r="Q59">
        <f t="shared" ca="1" si="7"/>
        <v>0.22433758449333774</v>
      </c>
      <c r="R59">
        <f t="shared" ca="1" si="8"/>
        <v>0.37306162342814803</v>
      </c>
      <c r="S59" cm="1">
        <f t="array" aca="1" ref="S59" ca="1">SUMPRODUCT(O58:R58*(B59:E59-B58:E58)/B58:E58)</f>
        <v>-1.800790990558028E-2</v>
      </c>
      <c r="T59">
        <f t="shared" ca="1" si="9"/>
        <v>1298.4588245836615</v>
      </c>
    </row>
    <row r="60" spans="1:20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0"/>
        <v>252240</v>
      </c>
      <c r="K60">
        <f t="shared" ca="1" si="1"/>
        <v>2036702.0000000002</v>
      </c>
      <c r="L60">
        <f t="shared" ca="1" si="2"/>
        <v>1262875</v>
      </c>
      <c r="M60">
        <f t="shared" ca="1" si="3"/>
        <v>2107140</v>
      </c>
      <c r="N60">
        <f t="shared" ca="1" si="4"/>
        <v>5658957</v>
      </c>
      <c r="O60">
        <f t="shared" ca="1" si="5"/>
        <v>4.4573584849646325E-2</v>
      </c>
      <c r="P60">
        <f t="shared" ca="1" si="6"/>
        <v>0.35990766496370269</v>
      </c>
      <c r="Q60">
        <f t="shared" ca="1" si="7"/>
        <v>0.22316391518790477</v>
      </c>
      <c r="R60">
        <f t="shared" ca="1" si="8"/>
        <v>0.37235483499874622</v>
      </c>
      <c r="S60" cm="1">
        <f t="array" aca="1" ref="S60" ca="1">SUMPRODUCT(O59:R59*(B60:E60-B59:E59)/B59:E59)</f>
        <v>-8.7708419819128094E-3</v>
      </c>
      <c r="T60">
        <f t="shared" ca="1" si="9"/>
        <v>1287.0702474132179</v>
      </c>
    </row>
    <row r="61" spans="1:20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0"/>
        <v>257232.00000000003</v>
      </c>
      <c r="K61">
        <f t="shared" ca="1" si="1"/>
        <v>2075774</v>
      </c>
      <c r="L61">
        <f t="shared" ca="1" si="2"/>
        <v>1267375</v>
      </c>
      <c r="M61">
        <f t="shared" ca="1" si="3"/>
        <v>2156175</v>
      </c>
      <c r="N61">
        <f t="shared" ca="1" si="4"/>
        <v>5756556</v>
      </c>
      <c r="O61">
        <f t="shared" ca="1" si="5"/>
        <v>4.4685051270238668E-2</v>
      </c>
      <c r="P61">
        <f t="shared" ca="1" si="6"/>
        <v>0.36059303514115038</v>
      </c>
      <c r="Q61">
        <f t="shared" ca="1" si="7"/>
        <v>0.22016202048585995</v>
      </c>
      <c r="R61">
        <f t="shared" ca="1" si="8"/>
        <v>0.37455989310275101</v>
      </c>
      <c r="S61" cm="1">
        <f t="array" aca="1" ref="S61" ca="1">SUMPRODUCT(O60:R60*(B61:E61-B60:E60)/B60:E60)</f>
        <v>1.7246817743976437E-2</v>
      </c>
      <c r="T61">
        <f t="shared" ca="1" si="9"/>
        <v>1309.2681133940482</v>
      </c>
    </row>
    <row r="62" spans="1:20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0"/>
        <v>259776.00000000003</v>
      </c>
      <c r="K62">
        <f t="shared" ca="1" si="1"/>
        <v>2101970</v>
      </c>
      <c r="L62">
        <f t="shared" ca="1" si="2"/>
        <v>1261125</v>
      </c>
      <c r="M62">
        <f t="shared" ca="1" si="3"/>
        <v>2182320</v>
      </c>
      <c r="N62">
        <f t="shared" ca="1" si="4"/>
        <v>5805191</v>
      </c>
      <c r="O62">
        <f t="shared" ca="1" si="5"/>
        <v>4.474891523810328E-2</v>
      </c>
      <c r="P62">
        <f t="shared" ca="1" si="6"/>
        <v>0.36208455501291859</v>
      </c>
      <c r="Q62">
        <f t="shared" ca="1" si="7"/>
        <v>0.21724091420936884</v>
      </c>
      <c r="R62">
        <f t="shared" ca="1" si="8"/>
        <v>0.37592561553960929</v>
      </c>
      <c r="S62" cm="1">
        <f t="array" aca="1" ref="S62" ca="1">SUMPRODUCT(O61:R61*(B62:E62-B61:E61)/B61:E61)</f>
        <v>8.4486279643592906E-3</v>
      </c>
      <c r="T62">
        <f t="shared" ca="1" si="9"/>
        <v>1320.3296325897129</v>
      </c>
    </row>
    <row r="63" spans="1:20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0"/>
        <v>263840</v>
      </c>
      <c r="K63">
        <f t="shared" ca="1" si="1"/>
        <v>2133420</v>
      </c>
      <c r="L63">
        <f t="shared" ca="1" si="2"/>
        <v>1296625</v>
      </c>
      <c r="M63">
        <f t="shared" ca="1" si="3"/>
        <v>2225370</v>
      </c>
      <c r="N63">
        <f t="shared" ca="1" si="4"/>
        <v>5919255</v>
      </c>
      <c r="O63">
        <f t="shared" ca="1" si="5"/>
        <v>4.4573176860939423E-2</v>
      </c>
      <c r="P63">
        <f t="shared" ca="1" si="6"/>
        <v>0.3604203569537045</v>
      </c>
      <c r="Q63">
        <f t="shared" ca="1" si="7"/>
        <v>0.21905205976089898</v>
      </c>
      <c r="R63">
        <f t="shared" ca="1" si="8"/>
        <v>0.37595440642445715</v>
      </c>
      <c r="S63" cm="1">
        <f t="array" aca="1" ref="S63" ca="1">SUMPRODUCT(O62:R62*(B63:E63-B62:E62)/B62:E62)</f>
        <v>1.9648621380416245E-2</v>
      </c>
      <c r="T63">
        <f t="shared" ca="1" si="9"/>
        <v>1346.2722896378125</v>
      </c>
    </row>
    <row r="64" spans="1:20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0"/>
        <v>265872</v>
      </c>
      <c r="K64">
        <f t="shared" ca="1" si="1"/>
        <v>2125502</v>
      </c>
      <c r="L64">
        <f t="shared" ca="1" si="2"/>
        <v>1304500</v>
      </c>
      <c r="M64">
        <f t="shared" ca="1" si="3"/>
        <v>2237235</v>
      </c>
      <c r="N64">
        <f t="shared" ca="1" si="4"/>
        <v>5933109</v>
      </c>
      <c r="O64">
        <f t="shared" ca="1" si="5"/>
        <v>4.4811581921046791E-2</v>
      </c>
      <c r="P64">
        <f t="shared" ca="1" si="6"/>
        <v>0.35824421900895465</v>
      </c>
      <c r="Q64">
        <f t="shared" ca="1" si="7"/>
        <v>0.21986786354338003</v>
      </c>
      <c r="R64">
        <f t="shared" ca="1" si="8"/>
        <v>0.37707633552661851</v>
      </c>
      <c r="S64" cm="1">
        <f t="array" aca="1" ref="S64" ca="1">SUMPRODUCT(O63:R63*(B64:E64-B63:E63)/B63:E63)</f>
        <v>2.340497241629211E-3</v>
      </c>
      <c r="T64">
        <f t="shared" ca="1" si="9"/>
        <v>1349.4232362181917</v>
      </c>
    </row>
    <row r="65" spans="1:20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0"/>
        <v>265008</v>
      </c>
      <c r="K65">
        <f t="shared" ca="1" si="1"/>
        <v>2125132</v>
      </c>
      <c r="L65">
        <f t="shared" ca="1" si="2"/>
        <v>1309000</v>
      </c>
      <c r="M65">
        <f t="shared" ca="1" si="3"/>
        <v>2254560</v>
      </c>
      <c r="N65">
        <f t="shared" ca="1" si="4"/>
        <v>5953700</v>
      </c>
      <c r="O65">
        <f t="shared" ca="1" si="5"/>
        <v>4.4511480255975275E-2</v>
      </c>
      <c r="P65">
        <f t="shared" ca="1" si="6"/>
        <v>0.35694307741404507</v>
      </c>
      <c r="Q65">
        <f t="shared" ca="1" si="7"/>
        <v>0.21986327829752927</v>
      </c>
      <c r="R65">
        <f t="shared" ca="1" si="8"/>
        <v>0.37868216403245042</v>
      </c>
      <c r="S65" cm="1">
        <f t="array" aca="1" ref="S65" ca="1">SUMPRODUCT(O64:R64*(B65:E65-B64:E64)/B64:E64)</f>
        <v>3.4705244754478608E-3</v>
      </c>
      <c r="T65">
        <f t="shared" ca="1" si="9"/>
        <v>1354.106442587225</v>
      </c>
    </row>
    <row r="66" spans="1:20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0"/>
        <v>262016</v>
      </c>
      <c r="K66">
        <f t="shared" ca="1" si="1"/>
        <v>2104116</v>
      </c>
      <c r="L66">
        <f t="shared" ca="1" si="2"/>
        <v>1305875</v>
      </c>
      <c r="M66">
        <f t="shared" ca="1" si="3"/>
        <v>2220540</v>
      </c>
      <c r="N66">
        <f t="shared" ca="1" si="4"/>
        <v>5892547</v>
      </c>
      <c r="O66">
        <f t="shared" ca="1" si="5"/>
        <v>4.4465661453357945E-2</v>
      </c>
      <c r="P66">
        <f t="shared" ca="1" si="6"/>
        <v>0.35708090236700701</v>
      </c>
      <c r="Q66">
        <f t="shared" ca="1" si="7"/>
        <v>0.22161469395152894</v>
      </c>
      <c r="R66">
        <f t="shared" ca="1" si="8"/>
        <v>0.37683874222810609</v>
      </c>
      <c r="S66" cm="1">
        <f t="array" aca="1" ref="S66" ca="1">SUMPRODUCT(O65:R65*(B66:E66-B65:E65)/B65:E65)</f>
        <v>-1.0271427851588145E-2</v>
      </c>
      <c r="T66">
        <f t="shared" ca="1" si="9"/>
        <v>1340.1978359588197</v>
      </c>
    </row>
    <row r="67" spans="1:20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10">F67*B67</f>
        <v>263456</v>
      </c>
      <c r="K67">
        <f t="shared" ref="K67:K130" ca="1" si="11">G67*C67</f>
        <v>2157840</v>
      </c>
      <c r="L67">
        <f t="shared" ref="L67:L130" ca="1" si="12">H67*D67</f>
        <v>1355250</v>
      </c>
      <c r="M67">
        <f t="shared" ref="M67:M130" ca="1" si="13">I67*E67</f>
        <v>2269050</v>
      </c>
      <c r="N67">
        <f t="shared" ref="N67:N130" ca="1" si="14">SUM(J67:M67)</f>
        <v>6045596</v>
      </c>
      <c r="O67">
        <f t="shared" ref="O67:O130" ca="1" si="15">J67/N67</f>
        <v>4.3578168306317527E-2</v>
      </c>
      <c r="P67">
        <f t="shared" ref="P67:P130" ca="1" si="16">K67/N67</f>
        <v>0.35692758828079152</v>
      </c>
      <c r="Q67">
        <f t="shared" ref="Q67:Q130" ca="1" si="17">L67/N67</f>
        <v>0.22417144645457618</v>
      </c>
      <c r="R67">
        <f t="shared" ref="R67:R130" ca="1" si="18">M67/N67</f>
        <v>0.37532279695831477</v>
      </c>
      <c r="S67" cm="1">
        <f t="array" aca="1" ref="S67" ca="1">SUMPRODUCT(O66:R66*(B67:E67-B66:E66)/B66:E66)</f>
        <v>2.5973318498774885E-2</v>
      </c>
      <c r="T67">
        <f t="shared" ca="1" si="9"/>
        <v>1375.007221203547</v>
      </c>
    </row>
    <row r="68" spans="1:20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10"/>
        <v>259248</v>
      </c>
      <c r="K68">
        <f t="shared" ca="1" si="11"/>
        <v>2141486</v>
      </c>
      <c r="L68">
        <f t="shared" ca="1" si="12"/>
        <v>1330500</v>
      </c>
      <c r="M68">
        <f t="shared" ca="1" si="13"/>
        <v>2254875</v>
      </c>
      <c r="N68">
        <f t="shared" ca="1" si="14"/>
        <v>5986109</v>
      </c>
      <c r="O68">
        <f t="shared" ca="1" si="15"/>
        <v>4.3308265853495148E-2</v>
      </c>
      <c r="P68">
        <f t="shared" ca="1" si="16"/>
        <v>0.35774256699969881</v>
      </c>
      <c r="Q68">
        <f t="shared" ca="1" si="17"/>
        <v>0.22226457954574499</v>
      </c>
      <c r="R68">
        <f t="shared" ca="1" si="18"/>
        <v>0.37668458760106105</v>
      </c>
      <c r="S68" cm="1">
        <f t="array" aca="1" ref="S68" ca="1">SUMPRODUCT(O67:R67*(B68:E68-B67:E67)/B67:E67)</f>
        <v>-9.8397246524577972E-3</v>
      </c>
      <c r="T68">
        <f t="shared" ref="T68:T131" ca="1" si="19">T67*(S68+1)</f>
        <v>1361.477528751763</v>
      </c>
    </row>
    <row r="69" spans="1:20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10"/>
        <v>257280.00000000003</v>
      </c>
      <c r="K69">
        <f t="shared" ca="1" si="11"/>
        <v>2092941.9999999998</v>
      </c>
      <c r="L69">
        <f t="shared" ca="1" si="12"/>
        <v>1316875</v>
      </c>
      <c r="M69">
        <f t="shared" ca="1" si="13"/>
        <v>2245425</v>
      </c>
      <c r="N69">
        <f t="shared" ca="1" si="14"/>
        <v>5912522</v>
      </c>
      <c r="O69">
        <f t="shared" ca="1" si="15"/>
        <v>4.3514425823700957E-2</v>
      </c>
      <c r="P69">
        <f t="shared" ca="1" si="16"/>
        <v>0.35398464479286501</v>
      </c>
      <c r="Q69">
        <f t="shared" ca="1" si="17"/>
        <v>0.22272644397771374</v>
      </c>
      <c r="R69">
        <f t="shared" ca="1" si="18"/>
        <v>0.37977448540572029</v>
      </c>
      <c r="S69" cm="1">
        <f t="array" aca="1" ref="S69" ca="1">SUMPRODUCT(O68:R68*(B69:E69-B68:E68)/B68:E68)</f>
        <v>-1.2292960251809665E-2</v>
      </c>
      <c r="T69">
        <f t="shared" ca="1" si="19"/>
        <v>1344.7409396070855</v>
      </c>
    </row>
    <row r="70" spans="1:20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10"/>
        <v>256160</v>
      </c>
      <c r="K70">
        <f t="shared" ca="1" si="11"/>
        <v>2097826</v>
      </c>
      <c r="L70">
        <f t="shared" ca="1" si="12"/>
        <v>1308000</v>
      </c>
      <c r="M70">
        <f t="shared" ca="1" si="13"/>
        <v>2247000</v>
      </c>
      <c r="N70">
        <f t="shared" ca="1" si="14"/>
        <v>5908986</v>
      </c>
      <c r="O70">
        <f t="shared" ca="1" si="15"/>
        <v>4.3350923491780144E-2</v>
      </c>
      <c r="P70">
        <f t="shared" ca="1" si="16"/>
        <v>0.355023010716221</v>
      </c>
      <c r="Q70">
        <f t="shared" ca="1" si="17"/>
        <v>0.22135777610574808</v>
      </c>
      <c r="R70">
        <f t="shared" ca="1" si="18"/>
        <v>0.38026828968625076</v>
      </c>
      <c r="S70" cm="1">
        <f t="array" aca="1" ref="S70" ca="1">SUMPRODUCT(O69:R69*(B70:E70-B69:E69)/B69:E69)</f>
        <v>-5.9805274297494433E-4</v>
      </c>
      <c r="T70">
        <f t="shared" ca="1" si="19"/>
        <v>1343.9367135995626</v>
      </c>
    </row>
    <row r="71" spans="1:20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10"/>
        <v>264896</v>
      </c>
      <c r="K71">
        <f t="shared" ca="1" si="11"/>
        <v>2144816</v>
      </c>
      <c r="L71">
        <f t="shared" ca="1" si="12"/>
        <v>1342875</v>
      </c>
      <c r="M71">
        <f t="shared" ca="1" si="13"/>
        <v>2313675</v>
      </c>
      <c r="N71">
        <f t="shared" ca="1" si="14"/>
        <v>6066262</v>
      </c>
      <c r="O71">
        <f t="shared" ca="1" si="15"/>
        <v>4.3667088562940409E-2</v>
      </c>
      <c r="P71">
        <f t="shared" ca="1" si="16"/>
        <v>0.35356468283104159</v>
      </c>
      <c r="Q71">
        <f t="shared" ca="1" si="17"/>
        <v>0.22136778793926146</v>
      </c>
      <c r="R71">
        <f t="shared" ca="1" si="18"/>
        <v>0.38140044066675655</v>
      </c>
      <c r="S71" cm="1">
        <f t="array" aca="1" ref="S71" ca="1">SUMPRODUCT(O70:R70*(B71:E71-B70:E70)/B70:E70)</f>
        <v>2.6616411005204579E-2</v>
      </c>
      <c r="T71">
        <f t="shared" ca="1" si="19"/>
        <v>1379.7074855337123</v>
      </c>
    </row>
    <row r="72" spans="1:20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10"/>
        <v>264336</v>
      </c>
      <c r="K72">
        <f t="shared" ca="1" si="11"/>
        <v>2117436</v>
      </c>
      <c r="L72">
        <f t="shared" ca="1" si="12"/>
        <v>1360875</v>
      </c>
      <c r="M72">
        <f t="shared" ca="1" si="13"/>
        <v>2325645</v>
      </c>
      <c r="N72">
        <f t="shared" ca="1" si="14"/>
        <v>6068292</v>
      </c>
      <c r="O72">
        <f t="shared" ca="1" si="15"/>
        <v>4.3560197828318083E-2</v>
      </c>
      <c r="P72">
        <f t="shared" ca="1" si="16"/>
        <v>0.34893442833667199</v>
      </c>
      <c r="Q72">
        <f t="shared" ca="1" si="17"/>
        <v>0.22425997298745676</v>
      </c>
      <c r="R72">
        <f t="shared" ca="1" si="18"/>
        <v>0.38324540084755315</v>
      </c>
      <c r="S72" cm="1">
        <f t="array" aca="1" ref="S72" ca="1">SUMPRODUCT(O71:R71*(B72:E72-B71:E71)/B71:E71)</f>
        <v>3.3463770605361492E-4</v>
      </c>
      <c r="T72">
        <f t="shared" ca="1" si="19"/>
        <v>1380.1691876816963</v>
      </c>
    </row>
    <row r="73" spans="1:20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10"/>
        <v>264368</v>
      </c>
      <c r="K73">
        <f t="shared" ca="1" si="11"/>
        <v>2137120</v>
      </c>
      <c r="L73">
        <f t="shared" ca="1" si="12"/>
        <v>1324625</v>
      </c>
      <c r="M73">
        <f t="shared" ca="1" si="13"/>
        <v>2298030</v>
      </c>
      <c r="N73">
        <f t="shared" ca="1" si="14"/>
        <v>6024143</v>
      </c>
      <c r="O73">
        <f t="shared" ca="1" si="15"/>
        <v>4.3884748419816724E-2</v>
      </c>
      <c r="P73">
        <f t="shared" ca="1" si="16"/>
        <v>0.35475917487350483</v>
      </c>
      <c r="Q73">
        <f t="shared" ca="1" si="17"/>
        <v>0.21988604852175653</v>
      </c>
      <c r="R73">
        <f t="shared" ca="1" si="18"/>
        <v>0.38147002818492193</v>
      </c>
      <c r="S73" cm="1">
        <f t="array" aca="1" ref="S73" ca="1">SUMPRODUCT(O72:R72*(B73:E73-B72:E72)/B72:E72)</f>
        <v>-7.275358535812031E-3</v>
      </c>
      <c r="T73">
        <f t="shared" ca="1" si="19"/>
        <v>1370.1279620012315</v>
      </c>
    </row>
    <row r="74" spans="1:20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10"/>
        <v>266352</v>
      </c>
      <c r="K74">
        <f t="shared" ca="1" si="11"/>
        <v>2133938</v>
      </c>
      <c r="L74">
        <f t="shared" ca="1" si="12"/>
        <v>1306250</v>
      </c>
      <c r="M74">
        <f t="shared" ca="1" si="13"/>
        <v>2287845</v>
      </c>
      <c r="N74">
        <f t="shared" ca="1" si="14"/>
        <v>5994385</v>
      </c>
      <c r="O74">
        <f t="shared" ca="1" si="15"/>
        <v>4.4433582427555122E-2</v>
      </c>
      <c r="P74">
        <f t="shared" ca="1" si="16"/>
        <v>0.35598948015517856</v>
      </c>
      <c r="Q74">
        <f t="shared" ca="1" si="17"/>
        <v>0.21791226289269042</v>
      </c>
      <c r="R74">
        <f t="shared" ca="1" si="18"/>
        <v>0.38166467452457592</v>
      </c>
      <c r="S74" cm="1">
        <f t="array" aca="1" ref="S74" ca="1">SUMPRODUCT(O73:R73*(B74:E74-B73:E73)/B73:E73)</f>
        <v>-4.939789775906765E-3</v>
      </c>
      <c r="T74">
        <f t="shared" ca="1" si="19"/>
        <v>1363.3598179028538</v>
      </c>
    </row>
    <row r="75" spans="1:20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10"/>
        <v>268208</v>
      </c>
      <c r="K75">
        <f t="shared" ca="1" si="11"/>
        <v>2134530</v>
      </c>
      <c r="L75">
        <f t="shared" ca="1" si="12"/>
        <v>1302250</v>
      </c>
      <c r="M75">
        <f t="shared" ca="1" si="13"/>
        <v>2264850</v>
      </c>
      <c r="N75">
        <f t="shared" ca="1" si="14"/>
        <v>5969838</v>
      </c>
      <c r="O75">
        <f t="shared" ca="1" si="15"/>
        <v>4.4927182278648101E-2</v>
      </c>
      <c r="P75">
        <f t="shared" ca="1" si="16"/>
        <v>0.35755241599520793</v>
      </c>
      <c r="Q75">
        <f t="shared" ca="1" si="17"/>
        <v>0.21813824763754058</v>
      </c>
      <c r="R75">
        <f t="shared" ca="1" si="18"/>
        <v>0.37938215408860343</v>
      </c>
      <c r="S75" cm="1">
        <f t="array" aca="1" ref="S75" ca="1">SUMPRODUCT(O74:R74*(B75:E75-B74:E74)/B74:E74)</f>
        <v>-4.094998903140191E-3</v>
      </c>
      <c r="T75">
        <f t="shared" ca="1" si="19"/>
        <v>1357.7768609439561</v>
      </c>
    </row>
    <row r="76" spans="1:20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10"/>
        <v>266640</v>
      </c>
      <c r="K76">
        <f t="shared" ca="1" si="11"/>
        <v>2117214</v>
      </c>
      <c r="L76">
        <f t="shared" ca="1" si="12"/>
        <v>1316125</v>
      </c>
      <c r="M76">
        <f t="shared" ca="1" si="13"/>
        <v>2237235</v>
      </c>
      <c r="N76">
        <f t="shared" ca="1" si="14"/>
        <v>5937214</v>
      </c>
      <c r="O76">
        <f t="shared" ca="1" si="15"/>
        <v>4.4909952715196051E-2</v>
      </c>
      <c r="P76">
        <f t="shared" ca="1" si="16"/>
        <v>0.35660058741355793</v>
      </c>
      <c r="Q76">
        <f t="shared" ca="1" si="17"/>
        <v>0.2216738355733851</v>
      </c>
      <c r="R76">
        <f t="shared" ca="1" si="18"/>
        <v>0.37681562429786092</v>
      </c>
      <c r="S76" cm="1">
        <f t="array" aca="1" ref="S76" ca="1">SUMPRODUCT(O75:R75*(B76:E76-B75:E75)/B75:E75)</f>
        <v>-5.4648049076038187E-3</v>
      </c>
      <c r="T76">
        <f t="shared" ca="1" si="19"/>
        <v>1350.3568752908386</v>
      </c>
    </row>
    <row r="77" spans="1:20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10"/>
        <v>264032</v>
      </c>
      <c r="K77">
        <f t="shared" ca="1" si="11"/>
        <v>2114624</v>
      </c>
      <c r="L77">
        <f t="shared" ca="1" si="12"/>
        <v>1317625</v>
      </c>
      <c r="M77">
        <f t="shared" ca="1" si="13"/>
        <v>2235345</v>
      </c>
      <c r="N77">
        <f t="shared" ca="1" si="14"/>
        <v>5931626</v>
      </c>
      <c r="O77">
        <f t="shared" ca="1" si="15"/>
        <v>4.4512583901952014E-2</v>
      </c>
      <c r="P77">
        <f t="shared" ca="1" si="16"/>
        <v>0.35649988721473674</v>
      </c>
      <c r="Q77">
        <f t="shared" ca="1" si="17"/>
        <v>0.22213554934178251</v>
      </c>
      <c r="R77">
        <f t="shared" ca="1" si="18"/>
        <v>0.37685197954152877</v>
      </c>
      <c r="S77" cm="1">
        <f t="array" aca="1" ref="S77" ca="1">SUMPRODUCT(O76:R76*(B77:E77-B76:E76)/B76:E76)</f>
        <v>-9.4118217736472907E-4</v>
      </c>
      <c r="T77">
        <f t="shared" ca="1" si="19"/>
        <v>1349.0859434667329</v>
      </c>
    </row>
    <row r="78" spans="1:20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10"/>
        <v>264528</v>
      </c>
      <c r="K78">
        <f t="shared" ca="1" si="11"/>
        <v>2085097.9999999998</v>
      </c>
      <c r="L78">
        <f t="shared" ca="1" si="12"/>
        <v>1324625</v>
      </c>
      <c r="M78">
        <f t="shared" ca="1" si="13"/>
        <v>2234295</v>
      </c>
      <c r="N78">
        <f t="shared" ca="1" si="14"/>
        <v>5908546</v>
      </c>
      <c r="O78">
        <f t="shared" ca="1" si="15"/>
        <v>4.4770405443234261E-2</v>
      </c>
      <c r="P78">
        <f t="shared" ca="1" si="16"/>
        <v>0.35289528083558963</v>
      </c>
      <c r="Q78">
        <f t="shared" ca="1" si="17"/>
        <v>0.22418798127322695</v>
      </c>
      <c r="R78">
        <f t="shared" ca="1" si="18"/>
        <v>0.3781463324479491</v>
      </c>
      <c r="S78" cm="1">
        <f t="array" aca="1" ref="S78" ca="1">SUMPRODUCT(O77:R77*(B78:E78-B77:E77)/B77:E77)</f>
        <v>-3.8910072887265606E-3</v>
      </c>
      <c r="T78">
        <f t="shared" ca="1" si="19"/>
        <v>1343.8366402275853</v>
      </c>
    </row>
    <row r="79" spans="1:20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10"/>
        <v>262032.00000000003</v>
      </c>
      <c r="K79">
        <f t="shared" ca="1" si="11"/>
        <v>2038108.0000000002</v>
      </c>
      <c r="L79">
        <f t="shared" ca="1" si="12"/>
        <v>1298125</v>
      </c>
      <c r="M79">
        <f t="shared" ca="1" si="13"/>
        <v>2179275</v>
      </c>
      <c r="N79">
        <f t="shared" ca="1" si="14"/>
        <v>5777540</v>
      </c>
      <c r="O79">
        <f t="shared" ca="1" si="15"/>
        <v>4.5353558781072917E-2</v>
      </c>
      <c r="P79">
        <f t="shared" ca="1" si="16"/>
        <v>0.35276397913298746</v>
      </c>
      <c r="Q79">
        <f t="shared" ca="1" si="17"/>
        <v>0.22468472740993573</v>
      </c>
      <c r="R79">
        <f t="shared" ca="1" si="18"/>
        <v>0.37719773467600398</v>
      </c>
      <c r="S79" cm="1">
        <f t="array" aca="1" ref="S79" ca="1">SUMPRODUCT(O78:R78*(B79:E79-B78:E78)/B78:E78)</f>
        <v>-2.2172290780168184E-2</v>
      </c>
      <c r="T79">
        <f t="shared" ca="1" si="19"/>
        <v>1314.0407034794152</v>
      </c>
    </row>
    <row r="80" spans="1:20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10"/>
        <v>262016</v>
      </c>
      <c r="K80">
        <f t="shared" ca="1" si="11"/>
        <v>2185738</v>
      </c>
      <c r="L80">
        <f t="shared" ca="1" si="12"/>
        <v>1296375</v>
      </c>
      <c r="M80">
        <f t="shared" ca="1" si="13"/>
        <v>2198700</v>
      </c>
      <c r="N80">
        <f t="shared" ca="1" si="14"/>
        <v>5942829</v>
      </c>
      <c r="O80">
        <f t="shared" ca="1" si="15"/>
        <v>4.4089439558163294E-2</v>
      </c>
      <c r="P80">
        <f t="shared" ca="1" si="16"/>
        <v>0.36779419364077276</v>
      </c>
      <c r="Q80">
        <f t="shared" ca="1" si="17"/>
        <v>0.21814105706221734</v>
      </c>
      <c r="R80">
        <f t="shared" ca="1" si="18"/>
        <v>0.36997530973884662</v>
      </c>
      <c r="S80" cm="1">
        <f t="array" aca="1" ref="S80" ca="1">SUMPRODUCT(O79:R79*(B80:E80-B79:E79)/B79:E79)</f>
        <v>2.8608888904274109E-2</v>
      </c>
      <c r="T80">
        <f t="shared" ca="1" si="19"/>
        <v>1351.6339479809521</v>
      </c>
    </row>
    <row r="81" spans="1:20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10"/>
        <v>269456</v>
      </c>
      <c r="K81">
        <f t="shared" ca="1" si="11"/>
        <v>2255742</v>
      </c>
      <c r="L81">
        <f t="shared" ca="1" si="12"/>
        <v>1344875</v>
      </c>
      <c r="M81">
        <f t="shared" ca="1" si="13"/>
        <v>2504880</v>
      </c>
      <c r="N81">
        <f t="shared" ca="1" si="14"/>
        <v>6374953</v>
      </c>
      <c r="O81">
        <f t="shared" ca="1" si="15"/>
        <v>4.2267919465445468E-2</v>
      </c>
      <c r="P81">
        <f t="shared" ca="1" si="16"/>
        <v>0.35384449108879706</v>
      </c>
      <c r="Q81">
        <f t="shared" ca="1" si="17"/>
        <v>0.21096233964391581</v>
      </c>
      <c r="R81">
        <f t="shared" ca="1" si="18"/>
        <v>0.39292524980184168</v>
      </c>
      <c r="S81" cm="1">
        <f t="array" aca="1" ref="S81" ca="1">SUMPRODUCT(O80:R80*(B81:E81-B80:E80)/B80:E80)</f>
        <v>7.2713517417378151E-2</v>
      </c>
      <c r="T81">
        <f t="shared" ca="1" si="19"/>
        <v>1449.9160065993847</v>
      </c>
    </row>
    <row r="82" spans="1:20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10"/>
        <v>271488</v>
      </c>
      <c r="K82">
        <f t="shared" ca="1" si="11"/>
        <v>2273724</v>
      </c>
      <c r="L82">
        <f t="shared" ca="1" si="12"/>
        <v>1341750</v>
      </c>
      <c r="M82">
        <f t="shared" ca="1" si="13"/>
        <v>2523360</v>
      </c>
      <c r="N82">
        <f t="shared" ca="1" si="14"/>
        <v>6410322</v>
      </c>
      <c r="O82">
        <f t="shared" ca="1" si="15"/>
        <v>4.2351694657460262E-2</v>
      </c>
      <c r="P82">
        <f t="shared" ca="1" si="16"/>
        <v>0.35469731473707561</v>
      </c>
      <c r="Q82">
        <f t="shared" ca="1" si="17"/>
        <v>0.20931085833129756</v>
      </c>
      <c r="R82">
        <f t="shared" ca="1" si="18"/>
        <v>0.39364013227416655</v>
      </c>
      <c r="S82" cm="1">
        <f t="array" aca="1" ref="S82" ca="1">SUMPRODUCT(O81:R81*(B82:E82-B81:E81)/B81:E81)</f>
        <v>5.5481193351543103E-3</v>
      </c>
      <c r="T82">
        <f t="shared" ca="1" si="19"/>
        <v>1457.9603136299484</v>
      </c>
    </row>
    <row r="83" spans="1:20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10"/>
        <v>271344</v>
      </c>
      <c r="K83">
        <f t="shared" ca="1" si="11"/>
        <v>2261144</v>
      </c>
      <c r="L83">
        <f t="shared" ca="1" si="12"/>
        <v>1340000</v>
      </c>
      <c r="M83">
        <f t="shared" ca="1" si="13"/>
        <v>2553390</v>
      </c>
      <c r="N83">
        <f t="shared" ca="1" si="14"/>
        <v>6425878</v>
      </c>
      <c r="O83">
        <f t="shared" ca="1" si="15"/>
        <v>4.2226758740206399E-2</v>
      </c>
      <c r="P83">
        <f t="shared" ca="1" si="16"/>
        <v>0.35188094140598375</v>
      </c>
      <c r="Q83">
        <f t="shared" ca="1" si="17"/>
        <v>0.20853181464073858</v>
      </c>
      <c r="R83">
        <f t="shared" ca="1" si="18"/>
        <v>0.39736048521307127</v>
      </c>
      <c r="S83" cm="1">
        <f t="array" aca="1" ref="S83" ca="1">SUMPRODUCT(O82:R82*(B83:E83-B82:E82)/B82:E82)</f>
        <v>2.4267111698913434E-3</v>
      </c>
      <c r="T83">
        <f t="shared" ca="1" si="19"/>
        <v>1461.4983622082923</v>
      </c>
    </row>
    <row r="84" spans="1:20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10"/>
        <v>269664</v>
      </c>
      <c r="K84">
        <f t="shared" ca="1" si="11"/>
        <v>2260034</v>
      </c>
      <c r="L84">
        <f t="shared" ca="1" si="12"/>
        <v>1316500</v>
      </c>
      <c r="M84">
        <f t="shared" ca="1" si="13"/>
        <v>2512020</v>
      </c>
      <c r="N84">
        <f t="shared" ca="1" si="14"/>
        <v>6358218</v>
      </c>
      <c r="O84">
        <f t="shared" ca="1" si="15"/>
        <v>4.2411883329574421E-2</v>
      </c>
      <c r="P84">
        <f t="shared" ca="1" si="16"/>
        <v>0.3554508511661601</v>
      </c>
      <c r="Q84">
        <f t="shared" ca="1" si="17"/>
        <v>0.20705486977640591</v>
      </c>
      <c r="R84">
        <f t="shared" ca="1" si="18"/>
        <v>0.39508239572785958</v>
      </c>
      <c r="S84" cm="1">
        <f t="array" aca="1" ref="S84" ca="1">SUMPRODUCT(O83:R83*(B84:E84-B83:E83)/B83:E83)</f>
        <v>-1.0529300431785345E-2</v>
      </c>
      <c r="T84">
        <f t="shared" ca="1" si="19"/>
        <v>1446.1098068720389</v>
      </c>
    </row>
    <row r="85" spans="1:20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10"/>
        <v>267920</v>
      </c>
      <c r="K85">
        <f t="shared" ca="1" si="11"/>
        <v>2252560</v>
      </c>
      <c r="L85">
        <f t="shared" ca="1" si="12"/>
        <v>1317625</v>
      </c>
      <c r="M85">
        <f t="shared" ca="1" si="13"/>
        <v>2488815</v>
      </c>
      <c r="N85">
        <f t="shared" ca="1" si="14"/>
        <v>6326920</v>
      </c>
      <c r="O85">
        <f t="shared" ca="1" si="15"/>
        <v>4.2346038830900344E-2</v>
      </c>
      <c r="P85">
        <f t="shared" ca="1" si="16"/>
        <v>0.35602789350900599</v>
      </c>
      <c r="Q85">
        <f t="shared" ca="1" si="17"/>
        <v>0.20825694018574598</v>
      </c>
      <c r="R85">
        <f t="shared" ca="1" si="18"/>
        <v>0.39336912747434771</v>
      </c>
      <c r="S85" cm="1">
        <f t="array" aca="1" ref="S85" ca="1">SUMPRODUCT(O84:R84*(B85:E85-B84:E84)/B84:E84)</f>
        <v>-4.9224483967049253E-3</v>
      </c>
      <c r="T85">
        <f t="shared" ca="1" si="19"/>
        <v>1438.9914059717423</v>
      </c>
    </row>
    <row r="86" spans="1:20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10"/>
        <v>265264</v>
      </c>
      <c r="K86">
        <f t="shared" ca="1" si="11"/>
        <v>2260034</v>
      </c>
      <c r="L86">
        <f t="shared" ca="1" si="12"/>
        <v>1308625</v>
      </c>
      <c r="M86">
        <f t="shared" ca="1" si="13"/>
        <v>2451960</v>
      </c>
      <c r="N86">
        <f t="shared" ca="1" si="14"/>
        <v>6285883</v>
      </c>
      <c r="O86">
        <f t="shared" ca="1" si="15"/>
        <v>4.2199958223848581E-2</v>
      </c>
      <c r="P86">
        <f t="shared" ca="1" si="16"/>
        <v>0.35954121322334509</v>
      </c>
      <c r="Q86">
        <f t="shared" ca="1" si="17"/>
        <v>0.20818475304106043</v>
      </c>
      <c r="R86">
        <f t="shared" ca="1" si="18"/>
        <v>0.39007407551174594</v>
      </c>
      <c r="S86" cm="1">
        <f t="array" aca="1" ref="S86" ca="1">SUMPRODUCT(O85:R85*(B86:E86-B85:E85)/B85:E85)</f>
        <v>-6.486094339741854E-3</v>
      </c>
      <c r="T86">
        <f t="shared" ca="1" si="19"/>
        <v>1429.6579719585318</v>
      </c>
    </row>
    <row r="87" spans="1:20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10"/>
        <v>277712</v>
      </c>
      <c r="K87">
        <f t="shared" ca="1" si="11"/>
        <v>2298810</v>
      </c>
      <c r="L87">
        <f t="shared" ca="1" si="12"/>
        <v>1319625</v>
      </c>
      <c r="M87">
        <f t="shared" ca="1" si="13"/>
        <v>2444190</v>
      </c>
      <c r="N87">
        <f t="shared" ca="1" si="14"/>
        <v>6340337</v>
      </c>
      <c r="O87">
        <f t="shared" ca="1" si="15"/>
        <v>4.3800826359860684E-2</v>
      </c>
      <c r="P87">
        <f t="shared" ca="1" si="16"/>
        <v>0.36256905587195126</v>
      </c>
      <c r="Q87">
        <f t="shared" ca="1" si="17"/>
        <v>0.20813168132861076</v>
      </c>
      <c r="R87">
        <f t="shared" ca="1" si="18"/>
        <v>0.38549843643957726</v>
      </c>
      <c r="S87" cm="1">
        <f t="array" aca="1" ref="S87" ca="1">SUMPRODUCT(O86:R86*(B87:E87-B86:E86)/B86:E86)</f>
        <v>8.6629038434217591E-3</v>
      </c>
      <c r="T87">
        <f t="shared" ca="1" si="19"/>
        <v>1442.0429614985901</v>
      </c>
    </row>
    <row r="88" spans="1:20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10"/>
        <v>277600</v>
      </c>
      <c r="K88">
        <f t="shared" ca="1" si="11"/>
        <v>2284010</v>
      </c>
      <c r="L88">
        <f t="shared" ca="1" si="12"/>
        <v>1347125</v>
      </c>
      <c r="M88">
        <f t="shared" ca="1" si="13"/>
        <v>2449335</v>
      </c>
      <c r="N88">
        <f t="shared" ca="1" si="14"/>
        <v>6358070</v>
      </c>
      <c r="O88">
        <f t="shared" ca="1" si="15"/>
        <v>4.3661048085346654E-2</v>
      </c>
      <c r="P88">
        <f t="shared" ca="1" si="16"/>
        <v>0.35923008082641428</v>
      </c>
      <c r="Q88">
        <f t="shared" ca="1" si="17"/>
        <v>0.21187640274485811</v>
      </c>
      <c r="R88">
        <f t="shared" ca="1" si="18"/>
        <v>0.38523246834338093</v>
      </c>
      <c r="S88" cm="1">
        <f t="array" aca="1" ref="S88" ca="1">SUMPRODUCT(O87:R87*(B88:E88-B87:E87)/B87:E87)</f>
        <v>2.7968544889648839E-3</v>
      </c>
      <c r="T88">
        <f t="shared" ca="1" si="19"/>
        <v>1446.0761458287377</v>
      </c>
    </row>
    <row r="89" spans="1:20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10"/>
        <v>274832</v>
      </c>
      <c r="K89">
        <f t="shared" ca="1" si="11"/>
        <v>2271800</v>
      </c>
      <c r="L89">
        <f t="shared" ca="1" si="12"/>
        <v>1341875</v>
      </c>
      <c r="M89">
        <f t="shared" ca="1" si="13"/>
        <v>2450385</v>
      </c>
      <c r="N89">
        <f t="shared" ca="1" si="14"/>
        <v>6338892</v>
      </c>
      <c r="O89">
        <f t="shared" ca="1" si="15"/>
        <v>4.3356473023992204E-2</v>
      </c>
      <c r="P89">
        <f t="shared" ca="1" si="16"/>
        <v>0.35839070929115058</v>
      </c>
      <c r="Q89">
        <f t="shared" ca="1" si="17"/>
        <v>0.21168920372834873</v>
      </c>
      <c r="R89">
        <f t="shared" ca="1" si="18"/>
        <v>0.38656361395650851</v>
      </c>
      <c r="S89" cm="1">
        <f t="array" aca="1" ref="S89" ca="1">SUMPRODUCT(O88:R88*(B89:E89-B88:E88)/B88:E88)</f>
        <v>-3.0163241360978881E-3</v>
      </c>
      <c r="T89">
        <f t="shared" ca="1" si="19"/>
        <v>1441.7143114474391</v>
      </c>
    </row>
    <row r="90" spans="1:20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10"/>
        <v>277688</v>
      </c>
      <c r="K90">
        <f t="shared" ca="1" si="11"/>
        <v>2311094</v>
      </c>
      <c r="L90">
        <f t="shared" ca="1" si="12"/>
        <v>1396875</v>
      </c>
      <c r="M90">
        <f t="shared" ca="1" si="13"/>
        <v>2447340</v>
      </c>
      <c r="N90">
        <f t="shared" ca="1" si="14"/>
        <v>6432997</v>
      </c>
      <c r="O90">
        <f t="shared" ca="1" si="15"/>
        <v>4.3166194543538573E-2</v>
      </c>
      <c r="P90">
        <f t="shared" ca="1" si="16"/>
        <v>0.35925619116564178</v>
      </c>
      <c r="Q90">
        <f t="shared" ca="1" si="17"/>
        <v>0.21714218116377174</v>
      </c>
      <c r="R90">
        <f t="shared" ca="1" si="18"/>
        <v>0.38043543312704792</v>
      </c>
      <c r="S90" cm="1">
        <f t="array" aca="1" ref="S90" ca="1">SUMPRODUCT(O89:R89*(B90:E90-B89:E89)/B89:E89)</f>
        <v>1.48456544140522E-2</v>
      </c>
      <c r="T90">
        <f t="shared" ca="1" si="19"/>
        <v>1463.1175038789811</v>
      </c>
    </row>
    <row r="91" spans="1:20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10"/>
        <v>278000</v>
      </c>
      <c r="K91">
        <f t="shared" ca="1" si="11"/>
        <v>2294814</v>
      </c>
      <c r="L91">
        <f t="shared" ca="1" si="12"/>
        <v>1457125</v>
      </c>
      <c r="M91">
        <f t="shared" ca="1" si="13"/>
        <v>2475795</v>
      </c>
      <c r="N91">
        <f t="shared" ca="1" si="14"/>
        <v>6505734</v>
      </c>
      <c r="O91">
        <f t="shared" ca="1" si="15"/>
        <v>4.2731534981294964E-2</v>
      </c>
      <c r="P91">
        <f t="shared" ca="1" si="16"/>
        <v>0.35273713926822092</v>
      </c>
      <c r="Q91">
        <f t="shared" ca="1" si="17"/>
        <v>0.22397549607776771</v>
      </c>
      <c r="R91">
        <f t="shared" ca="1" si="18"/>
        <v>0.38055582967271639</v>
      </c>
      <c r="S91" cm="1">
        <f t="array" aca="1" ref="S91" ca="1">SUMPRODUCT(O90:R90*(B91:E91-B90:E90)/B90:E90)</f>
        <v>1.130686055037796E-2</v>
      </c>
      <c r="T91">
        <f t="shared" ca="1" si="19"/>
        <v>1479.6607694641577</v>
      </c>
    </row>
    <row r="92" spans="1:20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10"/>
        <v>276112</v>
      </c>
      <c r="K92">
        <f t="shared" ca="1" si="11"/>
        <v>2286378</v>
      </c>
      <c r="L92">
        <f t="shared" ca="1" si="12"/>
        <v>1468875</v>
      </c>
      <c r="M92">
        <f t="shared" ca="1" si="13"/>
        <v>2455005</v>
      </c>
      <c r="N92">
        <f t="shared" ca="1" si="14"/>
        <v>6486370</v>
      </c>
      <c r="O92">
        <f t="shared" ca="1" si="15"/>
        <v>4.2568031117558816E-2</v>
      </c>
      <c r="P92">
        <f t="shared" ca="1" si="16"/>
        <v>0.35248960512582539</v>
      </c>
      <c r="Q92">
        <f t="shared" ca="1" si="17"/>
        <v>0.22645562926567556</v>
      </c>
      <c r="R92">
        <f t="shared" ca="1" si="18"/>
        <v>0.37848673449094022</v>
      </c>
      <c r="S92" cm="1">
        <f t="array" aca="1" ref="S92" ca="1">SUMPRODUCT(O91:R91*(B92:E92-B91:E91)/B91:E91)</f>
        <v>-2.976451235171873E-3</v>
      </c>
      <c r="T92">
        <f t="shared" ca="1" si="19"/>
        <v>1475.2566313392508</v>
      </c>
    </row>
    <row r="93" spans="1:20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10"/>
        <v>275312</v>
      </c>
      <c r="K93">
        <f t="shared" ca="1" si="11"/>
        <v>2290004</v>
      </c>
      <c r="L93">
        <f t="shared" ca="1" si="12"/>
        <v>1456375</v>
      </c>
      <c r="M93">
        <f t="shared" ca="1" si="13"/>
        <v>2508030</v>
      </c>
      <c r="N93">
        <f t="shared" ca="1" si="14"/>
        <v>6529721</v>
      </c>
      <c r="O93">
        <f t="shared" ca="1" si="15"/>
        <v>4.2162904050571229E-2</v>
      </c>
      <c r="P93">
        <f t="shared" ca="1" si="16"/>
        <v>0.35070472383123258</v>
      </c>
      <c r="Q93">
        <f t="shared" ca="1" si="17"/>
        <v>0.22303786026998704</v>
      </c>
      <c r="R93">
        <f t="shared" ca="1" si="18"/>
        <v>0.38409451184820914</v>
      </c>
      <c r="S93" cm="1">
        <f t="array" aca="1" ref="S93" ca="1">SUMPRODUCT(O92:R92*(B93:E93-B92:E92)/B92:E92)</f>
        <v>6.6833991893770735E-3</v>
      </c>
      <c r="T93">
        <f t="shared" ca="1" si="19"/>
        <v>1485.1163603132668</v>
      </c>
    </row>
    <row r="94" spans="1:20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10"/>
        <v>275312</v>
      </c>
      <c r="K94">
        <f t="shared" ca="1" si="11"/>
        <v>2306876</v>
      </c>
      <c r="L94">
        <f t="shared" ca="1" si="12"/>
        <v>1493875</v>
      </c>
      <c r="M94">
        <f t="shared" ca="1" si="13"/>
        <v>2507610</v>
      </c>
      <c r="N94">
        <f t="shared" ca="1" si="14"/>
        <v>6583673</v>
      </c>
      <c r="O94">
        <f t="shared" ca="1" si="15"/>
        <v>4.1817386738375373E-2</v>
      </c>
      <c r="P94">
        <f t="shared" ca="1" si="16"/>
        <v>0.3503934657751076</v>
      </c>
      <c r="Q94">
        <f t="shared" ca="1" si="17"/>
        <v>0.22690601431753976</v>
      </c>
      <c r="R94">
        <f t="shared" ca="1" si="18"/>
        <v>0.38088313316897726</v>
      </c>
      <c r="S94" cm="1">
        <f t="array" aca="1" ref="S94" ca="1">SUMPRODUCT(O93:R93*(B94:E94-B93:E93)/B93:E93)</f>
        <v>8.2625276026341704E-3</v>
      </c>
      <c r="T94">
        <f t="shared" ca="1" si="19"/>
        <v>1497.387175233479</v>
      </c>
    </row>
    <row r="95" spans="1:20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10"/>
        <v>276304</v>
      </c>
      <c r="K95">
        <f t="shared" ca="1" si="11"/>
        <v>2323600</v>
      </c>
      <c r="L95">
        <f t="shared" ca="1" si="12"/>
        <v>1510500</v>
      </c>
      <c r="M95">
        <f t="shared" ca="1" si="13"/>
        <v>2546092.5</v>
      </c>
      <c r="N95">
        <f t="shared" ca="1" si="14"/>
        <v>6656496.5</v>
      </c>
      <c r="O95">
        <f t="shared" ca="1" si="15"/>
        <v>4.1508922899606421E-2</v>
      </c>
      <c r="P95">
        <f t="shared" ca="1" si="16"/>
        <v>0.34907251885432522</v>
      </c>
      <c r="Q95">
        <f t="shared" ca="1" si="17"/>
        <v>0.22692117392385019</v>
      </c>
      <c r="R95">
        <f t="shared" ca="1" si="18"/>
        <v>0.38249738432221814</v>
      </c>
      <c r="S95" cm="1">
        <f t="array" aca="1" ref="S95" ca="1">SUMPRODUCT(O94:R94*(B95:E95-B94:E94)/B94:E94)</f>
        <v>1.1061226765059586E-2</v>
      </c>
      <c r="T95">
        <f t="shared" ca="1" si="19"/>
        <v>1513.9501143338284</v>
      </c>
    </row>
    <row r="96" spans="1:20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10"/>
        <v>280080</v>
      </c>
      <c r="K96">
        <f t="shared" ca="1" si="11"/>
        <v>2357048</v>
      </c>
      <c r="L96">
        <f t="shared" ca="1" si="12"/>
        <v>1535375</v>
      </c>
      <c r="M96">
        <f t="shared" ca="1" si="13"/>
        <v>2591925</v>
      </c>
      <c r="N96">
        <f t="shared" ca="1" si="14"/>
        <v>6764428</v>
      </c>
      <c r="O96">
        <f t="shared" ca="1" si="15"/>
        <v>4.1404831273242911E-2</v>
      </c>
      <c r="P96">
        <f t="shared" ca="1" si="16"/>
        <v>0.34844749622584498</v>
      </c>
      <c r="Q96">
        <f t="shared" ca="1" si="17"/>
        <v>0.2269778021142364</v>
      </c>
      <c r="R96">
        <f t="shared" ca="1" si="18"/>
        <v>0.38316987038667571</v>
      </c>
      <c r="S96" cm="1">
        <f t="array" aca="1" ref="S96" ca="1">SUMPRODUCT(O95:R95*(B96:E96-B95:E95)/B95:E95)</f>
        <v>1.6214460564953292E-2</v>
      </c>
      <c r="T96">
        <f t="shared" ca="1" si="19"/>
        <v>1538.4979987600007</v>
      </c>
    </row>
    <row r="97" spans="1:20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10"/>
        <v>280256</v>
      </c>
      <c r="K97">
        <f t="shared" ca="1" si="11"/>
        <v>2355716</v>
      </c>
      <c r="L97">
        <f t="shared" ca="1" si="12"/>
        <v>1534500</v>
      </c>
      <c r="M97">
        <f t="shared" ca="1" si="13"/>
        <v>2579220</v>
      </c>
      <c r="N97">
        <f t="shared" ca="1" si="14"/>
        <v>6749692</v>
      </c>
      <c r="O97">
        <f t="shared" ca="1" si="15"/>
        <v>4.152130200903982E-2</v>
      </c>
      <c r="P97">
        <f t="shared" ca="1" si="16"/>
        <v>0.34901088820052828</v>
      </c>
      <c r="Q97">
        <f t="shared" ca="1" si="17"/>
        <v>0.22734370694247974</v>
      </c>
      <c r="R97">
        <f t="shared" ca="1" si="18"/>
        <v>0.38212410284795217</v>
      </c>
      <c r="S97" cm="1">
        <f t="array" aca="1" ref="S97" ca="1">SUMPRODUCT(O96:R96*(B97:E97-B96:E96)/B96:E96)</f>
        <v>-2.1784547045219597E-3</v>
      </c>
      <c r="T97">
        <f t="shared" ca="1" si="19"/>
        <v>1535.1464505567044</v>
      </c>
    </row>
    <row r="98" spans="1:20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10"/>
        <v>278720</v>
      </c>
      <c r="K98">
        <f t="shared" ca="1" si="11"/>
        <v>2376732</v>
      </c>
      <c r="L98">
        <f t="shared" ca="1" si="12"/>
        <v>1563125</v>
      </c>
      <c r="M98">
        <f t="shared" ca="1" si="13"/>
        <v>2607360</v>
      </c>
      <c r="N98">
        <f t="shared" ca="1" si="14"/>
        <v>6825937</v>
      </c>
      <c r="O98">
        <f t="shared" ca="1" si="15"/>
        <v>4.083248937105631E-2</v>
      </c>
      <c r="P98">
        <f t="shared" ca="1" si="16"/>
        <v>0.34819131790990748</v>
      </c>
      <c r="Q98">
        <f t="shared" ca="1" si="17"/>
        <v>0.22899786505501002</v>
      </c>
      <c r="R98">
        <f t="shared" ca="1" si="18"/>
        <v>0.38197832766402617</v>
      </c>
      <c r="S98" cm="1">
        <f t="array" aca="1" ref="S98" ca="1">SUMPRODUCT(O97:R97*(B98:E98-B97:E97)/B97:E97)</f>
        <v>1.129607099109118E-2</v>
      </c>
      <c r="T98">
        <f t="shared" ca="1" si="19"/>
        <v>1552.4875738439146</v>
      </c>
    </row>
    <row r="99" spans="1:20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10"/>
        <v>274496</v>
      </c>
      <c r="K99">
        <f t="shared" ca="1" si="11"/>
        <v>2332924</v>
      </c>
      <c r="L99">
        <f t="shared" ca="1" si="12"/>
        <v>1532000</v>
      </c>
      <c r="M99">
        <f t="shared" ca="1" si="13"/>
        <v>2590770</v>
      </c>
      <c r="N99">
        <f t="shared" ca="1" si="14"/>
        <v>6730190</v>
      </c>
      <c r="O99">
        <f t="shared" ca="1" si="15"/>
        <v>4.0785772764216167E-2</v>
      </c>
      <c r="P99">
        <f t="shared" ca="1" si="16"/>
        <v>0.34663568190496852</v>
      </c>
      <c r="Q99">
        <f t="shared" ca="1" si="17"/>
        <v>0.2276310178464501</v>
      </c>
      <c r="R99">
        <f t="shared" ca="1" si="18"/>
        <v>0.38494752748436523</v>
      </c>
      <c r="S99" cm="1">
        <f t="array" aca="1" ref="S99" ca="1">SUMPRODUCT(O98:R98*(B99:E99-B98:E98)/B98:E98)</f>
        <v>-1.4026938719182416E-2</v>
      </c>
      <c r="T99">
        <f t="shared" ca="1" si="19"/>
        <v>1530.7109257833138</v>
      </c>
    </row>
    <row r="100" spans="1:20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10"/>
        <v>274944</v>
      </c>
      <c r="K100">
        <f t="shared" ca="1" si="11"/>
        <v>2322490</v>
      </c>
      <c r="L100">
        <f t="shared" ca="1" si="12"/>
        <v>1511250</v>
      </c>
      <c r="M100">
        <f t="shared" ca="1" si="13"/>
        <v>2616705</v>
      </c>
      <c r="N100">
        <f t="shared" ca="1" si="14"/>
        <v>6725389</v>
      </c>
      <c r="O100">
        <f t="shared" ca="1" si="15"/>
        <v>4.088150142690631E-2</v>
      </c>
      <c r="P100">
        <f t="shared" ca="1" si="16"/>
        <v>0.34533169754195631</v>
      </c>
      <c r="Q100">
        <f t="shared" ca="1" si="17"/>
        <v>0.22470819160051561</v>
      </c>
      <c r="R100">
        <f t="shared" ca="1" si="18"/>
        <v>0.38907860943062178</v>
      </c>
      <c r="S100" cm="1">
        <f t="array" aca="1" ref="S100" ca="1">SUMPRODUCT(O99:R99*(B100:E100-B99:E99)/B99:E99)</f>
        <v>-7.1335281767672754E-4</v>
      </c>
      <c r="T100">
        <f t="shared" ca="1" si="19"/>
        <v>1529.6189888313577</v>
      </c>
    </row>
    <row r="101" spans="1:20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10"/>
        <v>276784</v>
      </c>
      <c r="K101">
        <f t="shared" ca="1" si="11"/>
        <v>2411808</v>
      </c>
      <c r="L101">
        <f t="shared" ca="1" si="12"/>
        <v>1543500</v>
      </c>
      <c r="M101">
        <f t="shared" ca="1" si="13"/>
        <v>2653245</v>
      </c>
      <c r="N101">
        <f t="shared" ca="1" si="14"/>
        <v>6885337</v>
      </c>
      <c r="O101">
        <f t="shared" ca="1" si="15"/>
        <v>4.0199049080676806E-2</v>
      </c>
      <c r="P101">
        <f t="shared" ca="1" si="16"/>
        <v>0.35028176543864159</v>
      </c>
      <c r="Q101">
        <f t="shared" ca="1" si="17"/>
        <v>0.22417203399049312</v>
      </c>
      <c r="R101">
        <f t="shared" ca="1" si="18"/>
        <v>0.3853471514901885</v>
      </c>
      <c r="S101" cm="1">
        <f t="array" aca="1" ref="S101" ca="1">SUMPRODUCT(O100:R100*(B101:E101-B100:E100)/B100:E100)</f>
        <v>2.3782713535231915E-2</v>
      </c>
      <c r="T101">
        <f t="shared" ca="1" si="19"/>
        <v>1565.9974790607851</v>
      </c>
    </row>
    <row r="102" spans="1:20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10"/>
        <v>280688</v>
      </c>
      <c r="K102">
        <f t="shared" ca="1" si="11"/>
        <v>2463386</v>
      </c>
      <c r="L102">
        <f t="shared" ca="1" si="12"/>
        <v>1557625</v>
      </c>
      <c r="M102">
        <f t="shared" ca="1" si="13"/>
        <v>2751420</v>
      </c>
      <c r="N102">
        <f t="shared" ca="1" si="14"/>
        <v>7053119</v>
      </c>
      <c r="O102">
        <f t="shared" ca="1" si="15"/>
        <v>3.9796294376998317E-2</v>
      </c>
      <c r="P102">
        <f t="shared" ca="1" si="16"/>
        <v>0.34926193645676473</v>
      </c>
      <c r="Q102">
        <f t="shared" ca="1" si="17"/>
        <v>0.22084201329936443</v>
      </c>
      <c r="R102">
        <f t="shared" ca="1" si="18"/>
        <v>0.39009975586687251</v>
      </c>
      <c r="S102" cm="1">
        <f t="array" aca="1" ref="S102" ca="1">SUMPRODUCT(O101:R101*(B102:E102-B101:E101)/B101:E101)</f>
        <v>2.4368015683182968E-2</v>
      </c>
      <c r="T102">
        <f t="shared" ca="1" si="19"/>
        <v>1604.1577301903633</v>
      </c>
    </row>
    <row r="103" spans="1:20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10"/>
        <v>283680</v>
      </c>
      <c r="K103">
        <f t="shared" ca="1" si="11"/>
        <v>2450954</v>
      </c>
      <c r="L103">
        <f t="shared" ca="1" si="12"/>
        <v>1545875</v>
      </c>
      <c r="M103">
        <f t="shared" ca="1" si="13"/>
        <v>2756460</v>
      </c>
      <c r="N103">
        <f t="shared" ca="1" si="14"/>
        <v>7036969</v>
      </c>
      <c r="O103">
        <f t="shared" ca="1" si="15"/>
        <v>4.0312810813860345E-2</v>
      </c>
      <c r="P103">
        <f t="shared" ca="1" si="16"/>
        <v>0.34829683063830463</v>
      </c>
      <c r="Q103">
        <f t="shared" ca="1" si="17"/>
        <v>0.21967909763422291</v>
      </c>
      <c r="R103">
        <f t="shared" ca="1" si="18"/>
        <v>0.39171126091361208</v>
      </c>
      <c r="S103" cm="1">
        <f t="array" aca="1" ref="S103" ca="1">SUMPRODUCT(O102:R102*(B103:E103-B102:E102)/B102:E102)</f>
        <v>-2.2897671228856937E-3</v>
      </c>
      <c r="T103">
        <f t="shared" ca="1" si="19"/>
        <v>1600.4845825598504</v>
      </c>
    </row>
    <row r="104" spans="1:20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10"/>
        <v>283600</v>
      </c>
      <c r="K104">
        <f t="shared" ca="1" si="11"/>
        <v>2430086</v>
      </c>
      <c r="L104">
        <f t="shared" ca="1" si="12"/>
        <v>1535875</v>
      </c>
      <c r="M104">
        <f t="shared" ca="1" si="13"/>
        <v>2779560.0000000005</v>
      </c>
      <c r="N104">
        <f t="shared" ca="1" si="14"/>
        <v>7029121</v>
      </c>
      <c r="O104">
        <f t="shared" ca="1" si="15"/>
        <v>4.0346438765245324E-2</v>
      </c>
      <c r="P104">
        <f t="shared" ca="1" si="16"/>
        <v>0.34571691111875869</v>
      </c>
      <c r="Q104">
        <f t="shared" ca="1" si="17"/>
        <v>0.21850171593290257</v>
      </c>
      <c r="R104">
        <f t="shared" ca="1" si="18"/>
        <v>0.3954349341830935</v>
      </c>
      <c r="S104" cm="1">
        <f t="array" aca="1" ref="S104" ca="1">SUMPRODUCT(O103:R103*(B104:E104-B103:E103)/B103:E103)</f>
        <v>-1.1152528879975823E-3</v>
      </c>
      <c r="T104">
        <f t="shared" ca="1" si="19"/>
        <v>1598.6996375069548</v>
      </c>
    </row>
    <row r="105" spans="1:20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10"/>
        <v>288144</v>
      </c>
      <c r="K105">
        <f t="shared" ca="1" si="11"/>
        <v>2461092</v>
      </c>
      <c r="L105">
        <f t="shared" ca="1" si="12"/>
        <v>1546500</v>
      </c>
      <c r="M105">
        <f t="shared" ca="1" si="13"/>
        <v>2862405</v>
      </c>
      <c r="N105">
        <f t="shared" ca="1" si="14"/>
        <v>7158141</v>
      </c>
      <c r="O105">
        <f t="shared" ca="1" si="15"/>
        <v>4.0254026848590994E-2</v>
      </c>
      <c r="P105">
        <f t="shared" ca="1" si="16"/>
        <v>0.34381720058322407</v>
      </c>
      <c r="Q105">
        <f t="shared" ca="1" si="17"/>
        <v>0.21604771406430803</v>
      </c>
      <c r="R105">
        <f t="shared" ca="1" si="18"/>
        <v>0.3998810585038769</v>
      </c>
      <c r="S105" cm="1">
        <f t="array" aca="1" ref="S105" ca="1">SUMPRODUCT(O104:R104*(B105:E105-B104:E104)/B104:E104)</f>
        <v>1.8355068862806571E-2</v>
      </c>
      <c r="T105">
        <f t="shared" ca="1" si="19"/>
        <v>1628.0438794443387</v>
      </c>
    </row>
    <row r="106" spans="1:20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10"/>
        <v>289520</v>
      </c>
      <c r="K106">
        <f t="shared" ca="1" si="11"/>
        <v>2481960</v>
      </c>
      <c r="L106">
        <f t="shared" ca="1" si="12"/>
        <v>1558375</v>
      </c>
      <c r="M106">
        <f t="shared" ca="1" si="13"/>
        <v>2862405</v>
      </c>
      <c r="N106">
        <f t="shared" ca="1" si="14"/>
        <v>7192260</v>
      </c>
      <c r="O106">
        <f t="shared" ca="1" si="15"/>
        <v>4.0254384574528727E-2</v>
      </c>
      <c r="P106">
        <f t="shared" ca="1" si="16"/>
        <v>0.34508763587523256</v>
      </c>
      <c r="Q106">
        <f t="shared" ca="1" si="17"/>
        <v>0.21667389666113293</v>
      </c>
      <c r="R106">
        <f t="shared" ca="1" si="18"/>
        <v>0.39798408288910581</v>
      </c>
      <c r="S106" cm="1">
        <f t="array" aca="1" ref="S106" ca="1">SUMPRODUCT(O105:R105*(B106:E106-B105:E105)/B105:E105)</f>
        <v>4.7664610127126535E-3</v>
      </c>
      <c r="T106">
        <f t="shared" ca="1" si="19"/>
        <v>1635.8038871226956</v>
      </c>
    </row>
    <row r="107" spans="1:20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10"/>
        <v>287328</v>
      </c>
      <c r="K107">
        <f t="shared" ca="1" si="11"/>
        <v>2485956</v>
      </c>
      <c r="L107">
        <f t="shared" ca="1" si="12"/>
        <v>1575125</v>
      </c>
      <c r="M107">
        <f t="shared" ca="1" si="13"/>
        <v>2849595</v>
      </c>
      <c r="N107">
        <f t="shared" ca="1" si="14"/>
        <v>7198004</v>
      </c>
      <c r="O107">
        <f t="shared" ca="1" si="15"/>
        <v>3.9917732749245483E-2</v>
      </c>
      <c r="P107">
        <f t="shared" ca="1" si="16"/>
        <v>0.34536741018760203</v>
      </c>
      <c r="Q107">
        <f t="shared" ca="1" si="17"/>
        <v>0.21882802510251453</v>
      </c>
      <c r="R107">
        <f t="shared" ca="1" si="18"/>
        <v>0.39588683196063795</v>
      </c>
      <c r="S107" cm="1">
        <f t="array" aca="1" ref="S107" ca="1">SUMPRODUCT(O106:R106*(B107:E107-B106:E106)/B106:E106)</f>
        <v>7.9863631181296903E-4</v>
      </c>
      <c r="T107">
        <f t="shared" ca="1" si="19"/>
        <v>1637.1102995059564</v>
      </c>
    </row>
    <row r="108" spans="1:20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10"/>
        <v>286736</v>
      </c>
      <c r="K108">
        <f t="shared" ca="1" si="11"/>
        <v>2469232</v>
      </c>
      <c r="L108">
        <f t="shared" ca="1" si="12"/>
        <v>1591375</v>
      </c>
      <c r="M108">
        <f t="shared" ca="1" si="13"/>
        <v>2846760</v>
      </c>
      <c r="N108">
        <f t="shared" ca="1" si="14"/>
        <v>7194103</v>
      </c>
      <c r="O108">
        <f t="shared" ca="1" si="15"/>
        <v>3.9857088507073084E-2</v>
      </c>
      <c r="P108">
        <f t="shared" ca="1" si="16"/>
        <v>0.3432300037961647</v>
      </c>
      <c r="Q108">
        <f t="shared" ca="1" si="17"/>
        <v>0.22120547898744292</v>
      </c>
      <c r="R108">
        <f t="shared" ca="1" si="18"/>
        <v>0.3957074287093193</v>
      </c>
      <c r="S108" cm="1">
        <f t="array" aca="1" ref="S108" ca="1">SUMPRODUCT(O107:R107*(B108:E108-B107:E107)/B107:E107)</f>
        <v>-5.419557977461235E-4</v>
      </c>
      <c r="T108">
        <f t="shared" ca="1" si="19"/>
        <v>1636.2230580875894</v>
      </c>
    </row>
    <row r="109" spans="1:20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10"/>
        <v>284512</v>
      </c>
      <c r="K109">
        <f t="shared" ca="1" si="11"/>
        <v>2393012</v>
      </c>
      <c r="L109">
        <f t="shared" ca="1" si="12"/>
        <v>1531250</v>
      </c>
      <c r="M109">
        <f t="shared" ca="1" si="13"/>
        <v>2767800.0000000005</v>
      </c>
      <c r="N109">
        <f t="shared" ca="1" si="14"/>
        <v>6976574</v>
      </c>
      <c r="O109">
        <f t="shared" ca="1" si="15"/>
        <v>4.0781048119033783E-2</v>
      </c>
      <c r="P109">
        <f t="shared" ca="1" si="16"/>
        <v>0.34300675374474637</v>
      </c>
      <c r="Q109">
        <f t="shared" ca="1" si="17"/>
        <v>0.21948452062573981</v>
      </c>
      <c r="R109">
        <f t="shared" ca="1" si="18"/>
        <v>0.39672767751048016</v>
      </c>
      <c r="S109" cm="1">
        <f t="array" aca="1" ref="S109" ca="1">SUMPRODUCT(O108:R108*(B109:E109-B108:E108)/B108:E108)</f>
        <v>-3.0237126157354147E-2</v>
      </c>
      <c r="T109">
        <f t="shared" ca="1" si="19"/>
        <v>1586.748375058623</v>
      </c>
    </row>
    <row r="110" spans="1:20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10"/>
        <v>288912</v>
      </c>
      <c r="K110">
        <f t="shared" ca="1" si="11"/>
        <v>2406924</v>
      </c>
      <c r="L110">
        <f t="shared" ca="1" si="12"/>
        <v>1526750</v>
      </c>
      <c r="M110">
        <f t="shared" ca="1" si="13"/>
        <v>2778090</v>
      </c>
      <c r="N110">
        <f t="shared" ca="1" si="14"/>
        <v>7000676</v>
      </c>
      <c r="O110">
        <f t="shared" ca="1" si="15"/>
        <v>4.1269157435653354E-2</v>
      </c>
      <c r="P110">
        <f t="shared" ca="1" si="16"/>
        <v>0.34381308319368015</v>
      </c>
      <c r="Q110">
        <f t="shared" ca="1" si="17"/>
        <v>0.21808608197265522</v>
      </c>
      <c r="R110">
        <f t="shared" ca="1" si="18"/>
        <v>0.39683167739801128</v>
      </c>
      <c r="S110" cm="1">
        <f t="array" aca="1" ref="S110" ca="1">SUMPRODUCT(O109:R109*(B110:E110-B109:E109)/B109:E109)</f>
        <v>3.4547042717528072E-3</v>
      </c>
      <c r="T110">
        <f t="shared" ca="1" si="19"/>
        <v>1592.2301214481347</v>
      </c>
    </row>
    <row r="111" spans="1:20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10"/>
        <v>289536</v>
      </c>
      <c r="K111">
        <f t="shared" ca="1" si="11"/>
        <v>2418246</v>
      </c>
      <c r="L111">
        <f t="shared" ca="1" si="12"/>
        <v>1527875</v>
      </c>
      <c r="M111">
        <f t="shared" ca="1" si="13"/>
        <v>2781975</v>
      </c>
      <c r="N111">
        <f t="shared" ca="1" si="14"/>
        <v>7017632</v>
      </c>
      <c r="O111">
        <f t="shared" ca="1" si="15"/>
        <v>4.1258361794975856E-2</v>
      </c>
      <c r="P111">
        <f t="shared" ca="1" si="16"/>
        <v>0.34459572687767043</v>
      </c>
      <c r="Q111">
        <f t="shared" ca="1" si="17"/>
        <v>0.21771945294367104</v>
      </c>
      <c r="R111">
        <f t="shared" ca="1" si="18"/>
        <v>0.39642645838368268</v>
      </c>
      <c r="S111" cm="1">
        <f t="array" aca="1" ref="S111" ca="1">SUMPRODUCT(O110:R110*(B111:E111-B110:E110)/B110:E110)</f>
        <v>2.4220518132820794E-3</v>
      </c>
      <c r="T111">
        <f t="shared" ca="1" si="19"/>
        <v>1596.0865853009504</v>
      </c>
    </row>
    <row r="112" spans="1:20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10"/>
        <v>294064</v>
      </c>
      <c r="K112">
        <f t="shared" ca="1" si="11"/>
        <v>2455690</v>
      </c>
      <c r="L112">
        <f t="shared" ca="1" si="12"/>
        <v>1545500</v>
      </c>
      <c r="M112">
        <f t="shared" ca="1" si="13"/>
        <v>2846025</v>
      </c>
      <c r="N112">
        <f t="shared" ca="1" si="14"/>
        <v>7141279</v>
      </c>
      <c r="O112">
        <f t="shared" ca="1" si="15"/>
        <v>4.1178057880108032E-2</v>
      </c>
      <c r="P112">
        <f t="shared" ca="1" si="16"/>
        <v>0.34387257520676617</v>
      </c>
      <c r="Q112">
        <f t="shared" ca="1" si="17"/>
        <v>0.2164178153521239</v>
      </c>
      <c r="R112">
        <f t="shared" ca="1" si="18"/>
        <v>0.3985315515610019</v>
      </c>
      <c r="S112" cm="1">
        <f t="array" aca="1" ref="S112" ca="1">SUMPRODUCT(O111:R111*(B112:E112-B111:E111)/B111:E111)</f>
        <v>1.761947619937896E-2</v>
      </c>
      <c r="T112">
        <f t="shared" ca="1" si="19"/>
        <v>1624.2087949028084</v>
      </c>
    </row>
    <row r="113" spans="1:20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10"/>
        <v>293296</v>
      </c>
      <c r="K113">
        <f t="shared" ca="1" si="11"/>
        <v>2473746</v>
      </c>
      <c r="L113">
        <f t="shared" ca="1" si="12"/>
        <v>1547875</v>
      </c>
      <c r="M113">
        <f t="shared" ca="1" si="13"/>
        <v>2848860</v>
      </c>
      <c r="N113">
        <f t="shared" ca="1" si="14"/>
        <v>7163777</v>
      </c>
      <c r="O113">
        <f t="shared" ca="1" si="15"/>
        <v>4.0941531262070271E-2</v>
      </c>
      <c r="P113">
        <f t="shared" ca="1" si="16"/>
        <v>0.34531309391679837</v>
      </c>
      <c r="Q113">
        <f t="shared" ca="1" si="17"/>
        <v>0.2160696794442373</v>
      </c>
      <c r="R113">
        <f t="shared" ca="1" si="18"/>
        <v>0.39767569537689407</v>
      </c>
      <c r="S113" cm="1">
        <f t="array" aca="1" ref="S113" ca="1">SUMPRODUCT(O112:R112*(B113:E113-B112:E112)/B112:E112)</f>
        <v>3.1504160529227014E-3</v>
      </c>
      <c r="T113">
        <f t="shared" ca="1" si="19"/>
        <v>1629.3257283635685</v>
      </c>
    </row>
    <row r="114" spans="1:20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10"/>
        <v>294320</v>
      </c>
      <c r="K114">
        <f t="shared" ca="1" si="11"/>
        <v>2496316</v>
      </c>
      <c r="L114">
        <f t="shared" ca="1" si="12"/>
        <v>1545875</v>
      </c>
      <c r="M114">
        <f t="shared" ca="1" si="13"/>
        <v>2870175.0000000005</v>
      </c>
      <c r="N114">
        <f t="shared" ca="1" si="14"/>
        <v>7206686</v>
      </c>
      <c r="O114">
        <f t="shared" ca="1" si="15"/>
        <v>4.0839853436100866E-2</v>
      </c>
      <c r="P114">
        <f t="shared" ca="1" si="16"/>
        <v>0.34638889497891262</v>
      </c>
      <c r="Q114">
        <f t="shared" ca="1" si="17"/>
        <v>0.21450566876370081</v>
      </c>
      <c r="R114">
        <f t="shared" ca="1" si="18"/>
        <v>0.39826558282128577</v>
      </c>
      <c r="S114" cm="1">
        <f t="array" aca="1" ref="S114" ca="1">SUMPRODUCT(O113:R113*(B114:E114-B113:E113)/B113:E113)</f>
        <v>5.9897174353696373E-3</v>
      </c>
      <c r="T114">
        <f t="shared" ca="1" si="19"/>
        <v>1639.084929086644</v>
      </c>
    </row>
    <row r="115" spans="1:20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10"/>
        <v>297616</v>
      </c>
      <c r="K115">
        <f t="shared" ca="1" si="11"/>
        <v>2575940</v>
      </c>
      <c r="L115">
        <f t="shared" ca="1" si="12"/>
        <v>1563625</v>
      </c>
      <c r="M115">
        <f t="shared" ca="1" si="13"/>
        <v>2959215</v>
      </c>
      <c r="N115">
        <f t="shared" ca="1" si="14"/>
        <v>7396396</v>
      </c>
      <c r="O115">
        <f t="shared" ca="1" si="15"/>
        <v>4.0237975359891494E-2</v>
      </c>
      <c r="P115">
        <f t="shared" ca="1" si="16"/>
        <v>0.34826961671603307</v>
      </c>
      <c r="Q115">
        <f t="shared" ca="1" si="17"/>
        <v>0.21140363495951273</v>
      </c>
      <c r="R115">
        <f t="shared" ca="1" si="18"/>
        <v>0.40008877296456274</v>
      </c>
      <c r="S115" cm="1">
        <f t="array" aca="1" ref="S115" ca="1">SUMPRODUCT(O114:R114*(B115:E115-B114:E114)/B114:E114)</f>
        <v>2.6324166197889014E-2</v>
      </c>
      <c r="T115">
        <f t="shared" ca="1" si="19"/>
        <v>1682.2324731723759</v>
      </c>
    </row>
    <row r="116" spans="1:20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10"/>
        <v>295872</v>
      </c>
      <c r="K116">
        <f t="shared" ca="1" si="11"/>
        <v>2533242</v>
      </c>
      <c r="L116">
        <f t="shared" ca="1" si="12"/>
        <v>1544125</v>
      </c>
      <c r="M116">
        <f t="shared" ca="1" si="13"/>
        <v>2950500</v>
      </c>
      <c r="N116">
        <f t="shared" ca="1" si="14"/>
        <v>7323739</v>
      </c>
      <c r="O116">
        <f t="shared" ca="1" si="15"/>
        <v>4.039903661230964E-2</v>
      </c>
      <c r="P116">
        <f t="shared" ca="1" si="16"/>
        <v>0.34589463114400992</v>
      </c>
      <c r="Q116">
        <f t="shared" ca="1" si="17"/>
        <v>0.21083834363840656</v>
      </c>
      <c r="R116">
        <f t="shared" ca="1" si="18"/>
        <v>0.4028679886052739</v>
      </c>
      <c r="S116" cm="1">
        <f t="array" aca="1" ref="S116" ca="1">SUMPRODUCT(O115:R115*(B116:E116-B115:E115)/B115:E115)</f>
        <v>-9.8232977250001432E-3</v>
      </c>
      <c r="T116">
        <f t="shared" ca="1" si="19"/>
        <v>1665.7074027457404</v>
      </c>
    </row>
    <row r="117" spans="1:20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10"/>
        <v>296016</v>
      </c>
      <c r="K117">
        <f t="shared" ca="1" si="11"/>
        <v>2501570</v>
      </c>
      <c r="L117">
        <f t="shared" ca="1" si="12"/>
        <v>1538750</v>
      </c>
      <c r="M117">
        <f t="shared" ca="1" si="13"/>
        <v>2985465</v>
      </c>
      <c r="N117">
        <f t="shared" ca="1" si="14"/>
        <v>7321801</v>
      </c>
      <c r="O117">
        <f t="shared" ca="1" si="15"/>
        <v>4.0429397084132714E-2</v>
      </c>
      <c r="P117">
        <f t="shared" ca="1" si="16"/>
        <v>0.34166047397354832</v>
      </c>
      <c r="Q117">
        <f t="shared" ca="1" si="17"/>
        <v>0.21016004122482979</v>
      </c>
      <c r="R117">
        <f t="shared" ca="1" si="18"/>
        <v>0.40775008771748916</v>
      </c>
      <c r="S117" cm="1">
        <f t="array" aca="1" ref="S117" ca="1">SUMPRODUCT(O116:R116*(B117:E117-B116:E116)/B116:E116)</f>
        <v>-2.6461893303407567E-4</v>
      </c>
      <c r="T117">
        <f t="shared" ca="1" si="19"/>
        <v>1665.2666250300788</v>
      </c>
    </row>
    <row r="118" spans="1:20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10"/>
        <v>294336</v>
      </c>
      <c r="K118">
        <f t="shared" ca="1" si="11"/>
        <v>2468344</v>
      </c>
      <c r="L118">
        <f t="shared" ca="1" si="12"/>
        <v>1506875</v>
      </c>
      <c r="M118">
        <f t="shared" ca="1" si="13"/>
        <v>2957220</v>
      </c>
      <c r="N118">
        <f t="shared" ca="1" si="14"/>
        <v>7226775</v>
      </c>
      <c r="O118">
        <f t="shared" ca="1" si="15"/>
        <v>4.0728540739126372E-2</v>
      </c>
      <c r="P118">
        <f t="shared" ca="1" si="16"/>
        <v>0.34155539642509969</v>
      </c>
      <c r="Q118">
        <f t="shared" ca="1" si="17"/>
        <v>0.2085127875158698</v>
      </c>
      <c r="R118">
        <f t="shared" ca="1" si="18"/>
        <v>0.40920327531990408</v>
      </c>
      <c r="S118" cm="1">
        <f t="array" aca="1" ref="S118" ca="1">SUMPRODUCT(O117:R117*(B118:E118-B117:E117)/B117:E117)</f>
        <v>-1.2978500781433418E-2</v>
      </c>
      <c r="T118">
        <f t="shared" ca="1" si="19"/>
        <v>1643.653960835831</v>
      </c>
    </row>
    <row r="119" spans="1:20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10"/>
        <v>299200</v>
      </c>
      <c r="K119">
        <f t="shared" ca="1" si="11"/>
        <v>2513854</v>
      </c>
      <c r="L119">
        <f t="shared" ca="1" si="12"/>
        <v>1539375</v>
      </c>
      <c r="M119">
        <f t="shared" ca="1" si="13"/>
        <v>2991240</v>
      </c>
      <c r="N119">
        <f t="shared" ca="1" si="14"/>
        <v>7343669</v>
      </c>
      <c r="O119">
        <f t="shared" ca="1" si="15"/>
        <v>4.07425770415306E-2</v>
      </c>
      <c r="P119">
        <f t="shared" ca="1" si="16"/>
        <v>0.34231580971310116</v>
      </c>
      <c r="Q119">
        <f t="shared" ca="1" si="17"/>
        <v>0.20961933333324256</v>
      </c>
      <c r="R119">
        <f t="shared" ca="1" si="18"/>
        <v>0.40732227991212566</v>
      </c>
      <c r="S119" cm="1">
        <f t="array" aca="1" ref="S119" ca="1">SUMPRODUCT(O118:R118*(B119:E119-B118:E118)/B118:E118)</f>
        <v>1.6175126526009182E-2</v>
      </c>
      <c r="T119">
        <f t="shared" ca="1" si="19"/>
        <v>1670.2402716173269</v>
      </c>
    </row>
    <row r="120" spans="1:20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10"/>
        <v>298688</v>
      </c>
      <c r="K120">
        <f t="shared" ca="1" si="11"/>
        <v>2479148</v>
      </c>
      <c r="L120">
        <f t="shared" ca="1" si="12"/>
        <v>1529250</v>
      </c>
      <c r="M120">
        <f t="shared" ca="1" si="13"/>
        <v>3031665</v>
      </c>
      <c r="N120">
        <f t="shared" ca="1" si="14"/>
        <v>7338751</v>
      </c>
      <c r="O120">
        <f t="shared" ca="1" si="15"/>
        <v>4.0700113684195037E-2</v>
      </c>
      <c r="P120">
        <f t="shared" ca="1" si="16"/>
        <v>0.33781606706645312</v>
      </c>
      <c r="Q120">
        <f t="shared" ca="1" si="17"/>
        <v>0.20838014534080798</v>
      </c>
      <c r="R120">
        <f t="shared" ca="1" si="18"/>
        <v>0.41310367390854386</v>
      </c>
      <c r="S120" cm="1">
        <f t="array" aca="1" ref="S120" ca="1">SUMPRODUCT(O119:R119*(B120:E120-B119:E119)/B119:E119)</f>
        <v>-6.6969249294865623E-4</v>
      </c>
      <c r="T120">
        <f t="shared" ca="1" si="19"/>
        <v>1669.1217242460043</v>
      </c>
    </row>
    <row r="121" spans="1:20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10"/>
        <v>296432</v>
      </c>
      <c r="K121">
        <f t="shared" ca="1" si="11"/>
        <v>2431640</v>
      </c>
      <c r="L121">
        <f t="shared" ca="1" si="12"/>
        <v>1479250</v>
      </c>
      <c r="M121">
        <f t="shared" ca="1" si="13"/>
        <v>2923935.0000000005</v>
      </c>
      <c r="N121">
        <f t="shared" ca="1" si="14"/>
        <v>7131257</v>
      </c>
      <c r="O121">
        <f t="shared" ca="1" si="15"/>
        <v>4.1567987242641796E-2</v>
      </c>
      <c r="P121">
        <f t="shared" ca="1" si="16"/>
        <v>0.34098336380248251</v>
      </c>
      <c r="Q121">
        <f t="shared" ca="1" si="17"/>
        <v>0.20743187351121969</v>
      </c>
      <c r="R121">
        <f t="shared" ca="1" si="18"/>
        <v>0.41001677544365606</v>
      </c>
      <c r="S121" cm="1">
        <f t="array" aca="1" ref="S121" ca="1">SUMPRODUCT(O120:R120*(B121:E121-B120:E120)/B120:E120)</f>
        <v>-2.8273748489354607E-2</v>
      </c>
      <c r="T121">
        <f t="shared" ca="1" si="19"/>
        <v>1621.9293964165549</v>
      </c>
    </row>
    <row r="122" spans="1:20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10"/>
        <v>300896</v>
      </c>
      <c r="K122">
        <f t="shared" ca="1" si="11"/>
        <v>2475818</v>
      </c>
      <c r="L122">
        <f t="shared" ca="1" si="12"/>
        <v>1479125</v>
      </c>
      <c r="M122">
        <f t="shared" ca="1" si="13"/>
        <v>3014025</v>
      </c>
      <c r="N122">
        <f t="shared" ca="1" si="14"/>
        <v>7269864</v>
      </c>
      <c r="O122">
        <f t="shared" ca="1" si="15"/>
        <v>4.13894950441989E-2</v>
      </c>
      <c r="P122">
        <f t="shared" ca="1" si="16"/>
        <v>0.34055905309920514</v>
      </c>
      <c r="Q122">
        <f t="shared" ca="1" si="17"/>
        <v>0.20345978961917308</v>
      </c>
      <c r="R122">
        <f t="shared" ca="1" si="18"/>
        <v>0.41459166223742289</v>
      </c>
      <c r="S122" cm="1">
        <f t="array" aca="1" ref="S122" ca="1">SUMPRODUCT(O121:R121*(B122:E122-B121:E121)/B121:E121)</f>
        <v>1.9436545338360339E-2</v>
      </c>
      <c r="T122">
        <f t="shared" ca="1" si="19"/>
        <v>1653.4541006656245</v>
      </c>
    </row>
    <row r="123" spans="1:20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10"/>
        <v>302800</v>
      </c>
      <c r="K123">
        <f t="shared" ca="1" si="11"/>
        <v>2485290</v>
      </c>
      <c r="L123">
        <f t="shared" ca="1" si="12"/>
        <v>1502250</v>
      </c>
      <c r="M123">
        <f t="shared" ca="1" si="13"/>
        <v>2995545</v>
      </c>
      <c r="N123">
        <f t="shared" ca="1" si="14"/>
        <v>7285885</v>
      </c>
      <c r="O123">
        <f t="shared" ca="1" si="15"/>
        <v>4.1559810510322356E-2</v>
      </c>
      <c r="P123">
        <f t="shared" ca="1" si="16"/>
        <v>0.3411102426129427</v>
      </c>
      <c r="Q123">
        <f t="shared" ca="1" si="17"/>
        <v>0.20618634524151835</v>
      </c>
      <c r="R123">
        <f t="shared" ca="1" si="18"/>
        <v>0.41114360163521657</v>
      </c>
      <c r="S123" cm="1">
        <f t="array" aca="1" ref="S123" ca="1">SUMPRODUCT(O122:R122*(B123:E123-B122:E122)/B122:E122)</f>
        <v>2.2037551183901683E-3</v>
      </c>
      <c r="T123">
        <f t="shared" ca="1" si="19"/>
        <v>1657.0979086029897</v>
      </c>
    </row>
    <row r="124" spans="1:20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10"/>
        <v>303344</v>
      </c>
      <c r="K124">
        <f t="shared" ca="1" si="11"/>
        <v>2479370</v>
      </c>
      <c r="L124">
        <f t="shared" ca="1" si="12"/>
        <v>1488750</v>
      </c>
      <c r="M124">
        <f t="shared" ca="1" si="13"/>
        <v>2956064.9999999995</v>
      </c>
      <c r="N124">
        <f t="shared" ca="1" si="14"/>
        <v>7227529</v>
      </c>
      <c r="O124">
        <f t="shared" ca="1" si="15"/>
        <v>4.1970637544311476E-2</v>
      </c>
      <c r="P124">
        <f t="shared" ca="1" si="16"/>
        <v>0.34304532019172806</v>
      </c>
      <c r="Q124">
        <f t="shared" ca="1" si="17"/>
        <v>0.20598326205263237</v>
      </c>
      <c r="R124">
        <f t="shared" ca="1" si="18"/>
        <v>0.40900078021132802</v>
      </c>
      <c r="S124" cm="1">
        <f t="array" aca="1" ref="S124" ca="1">SUMPRODUCT(O123:R123*(B124:E124-B123:E123)/B123:E123)</f>
        <v>-8.009459386196835E-3</v>
      </c>
      <c r="T124">
        <f t="shared" ca="1" si="19"/>
        <v>1643.8254502050825</v>
      </c>
    </row>
    <row r="125" spans="1:20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10"/>
        <v>310352</v>
      </c>
      <c r="K125">
        <f t="shared" ca="1" si="11"/>
        <v>2519996</v>
      </c>
      <c r="L125">
        <f t="shared" ca="1" si="12"/>
        <v>1496250</v>
      </c>
      <c r="M125">
        <f t="shared" ca="1" si="13"/>
        <v>3013290</v>
      </c>
      <c r="N125">
        <f t="shared" ca="1" si="14"/>
        <v>7339888</v>
      </c>
      <c r="O125">
        <f t="shared" ca="1" si="15"/>
        <v>4.2282934017521791E-2</v>
      </c>
      <c r="P125">
        <f t="shared" ca="1" si="16"/>
        <v>0.34332894452885382</v>
      </c>
      <c r="Q125">
        <f t="shared" ca="1" si="17"/>
        <v>0.20385188438842664</v>
      </c>
      <c r="R125">
        <f t="shared" ca="1" si="18"/>
        <v>0.41053623706519771</v>
      </c>
      <c r="S125" cm="1">
        <f t="array" aca="1" ref="S125" ca="1">SUMPRODUCT(O124:R124*(B125:E125-B124:E124)/B124:E124)</f>
        <v>1.5545977055228784E-2</v>
      </c>
      <c r="T125">
        <f t="shared" ca="1" si="19"/>
        <v>1669.380322936772</v>
      </c>
    </row>
    <row r="126" spans="1:20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10"/>
        <v>307936</v>
      </c>
      <c r="K126">
        <f t="shared" ca="1" si="11"/>
        <v>2501126</v>
      </c>
      <c r="L126">
        <f t="shared" ca="1" si="12"/>
        <v>1498750</v>
      </c>
      <c r="M126">
        <f t="shared" ca="1" si="13"/>
        <v>3003210</v>
      </c>
      <c r="N126">
        <f t="shared" ca="1" si="14"/>
        <v>7311022</v>
      </c>
      <c r="O126">
        <f t="shared" ca="1" si="15"/>
        <v>4.2119419145503871E-2</v>
      </c>
      <c r="P126">
        <f t="shared" ca="1" si="16"/>
        <v>0.34210347062284863</v>
      </c>
      <c r="Q126">
        <f t="shared" ca="1" si="17"/>
        <v>0.20499869922426714</v>
      </c>
      <c r="R126">
        <f t="shared" ca="1" si="18"/>
        <v>0.41077841100738038</v>
      </c>
      <c r="S126" cm="1">
        <f t="array" aca="1" ref="S126" ca="1">SUMPRODUCT(O125:R125*(B126:E126-B125:E125)/B125:E125)</f>
        <v>-3.9327575570635969E-3</v>
      </c>
      <c r="T126">
        <f t="shared" ca="1" si="19"/>
        <v>1662.8150548561291</v>
      </c>
    </row>
    <row r="127" spans="1:20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10"/>
        <v>306128</v>
      </c>
      <c r="K127">
        <f t="shared" ca="1" si="11"/>
        <v>2502310</v>
      </c>
      <c r="L127">
        <f t="shared" ca="1" si="12"/>
        <v>1521875</v>
      </c>
      <c r="M127">
        <f t="shared" ca="1" si="13"/>
        <v>3090885</v>
      </c>
      <c r="N127">
        <f t="shared" ca="1" si="14"/>
        <v>7421198</v>
      </c>
      <c r="O127">
        <f t="shared" ca="1" si="15"/>
        <v>4.1250482738770751E-2</v>
      </c>
      <c r="P127">
        <f t="shared" ca="1" si="16"/>
        <v>0.33718410423761769</v>
      </c>
      <c r="Q127">
        <f t="shared" ca="1" si="17"/>
        <v>0.20507133753876397</v>
      </c>
      <c r="R127">
        <f t="shared" ca="1" si="18"/>
        <v>0.41649407548484757</v>
      </c>
      <c r="S127" cm="1">
        <f t="array" aca="1" ref="S127" ca="1">SUMPRODUCT(O126:R126*(B127:E127-B126:E126)/B126:E126)</f>
        <v>1.506984933159823E-2</v>
      </c>
      <c r="T127">
        <f t="shared" ca="1" si="19"/>
        <v>1687.8734271991241</v>
      </c>
    </row>
    <row r="128" spans="1:20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10"/>
        <v>306896</v>
      </c>
      <c r="K128">
        <f t="shared" ca="1" si="11"/>
        <v>2525398</v>
      </c>
      <c r="L128">
        <f t="shared" ca="1" si="12"/>
        <v>1501375</v>
      </c>
      <c r="M128">
        <f t="shared" ca="1" si="13"/>
        <v>3065895</v>
      </c>
      <c r="N128">
        <f t="shared" ca="1" si="14"/>
        <v>7399564</v>
      </c>
      <c r="O128">
        <f t="shared" ca="1" si="15"/>
        <v>4.1474876087293791E-2</v>
      </c>
      <c r="P128">
        <f t="shared" ca="1" si="16"/>
        <v>0.34129010844422725</v>
      </c>
      <c r="Q128">
        <f t="shared" ca="1" si="17"/>
        <v>0.20290046818974738</v>
      </c>
      <c r="R128">
        <f t="shared" ca="1" si="18"/>
        <v>0.41433454727873154</v>
      </c>
      <c r="S128" cm="1">
        <f t="array" aca="1" ref="S128" ca="1">SUMPRODUCT(O127:R127*(B128:E128-B127:E127)/B127:E127)</f>
        <v>-2.9151627540459023E-3</v>
      </c>
      <c r="T128">
        <f t="shared" ca="1" si="19"/>
        <v>1682.9530014506095</v>
      </c>
    </row>
    <row r="129" spans="1:20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10"/>
        <v>305088</v>
      </c>
      <c r="K129">
        <f t="shared" ca="1" si="11"/>
        <v>2495428</v>
      </c>
      <c r="L129">
        <f t="shared" ca="1" si="12"/>
        <v>1493500</v>
      </c>
      <c r="M129">
        <f t="shared" ca="1" si="13"/>
        <v>3050564.9999999995</v>
      </c>
      <c r="N129">
        <f t="shared" ca="1" si="14"/>
        <v>7344581</v>
      </c>
      <c r="O129">
        <f t="shared" ca="1" si="15"/>
        <v>4.1539197402819847E-2</v>
      </c>
      <c r="P129">
        <f t="shared" ca="1" si="16"/>
        <v>0.33976451481711484</v>
      </c>
      <c r="Q129">
        <f t="shared" ca="1" si="17"/>
        <v>0.20334720251570512</v>
      </c>
      <c r="R129">
        <f t="shared" ca="1" si="18"/>
        <v>0.41534908526436015</v>
      </c>
      <c r="S129" cm="1">
        <f t="array" aca="1" ref="S129" ca="1">SUMPRODUCT(O128:R128*(B129:E129-B128:E128)/B128:E128)</f>
        <v>-7.4305729364594966E-3</v>
      </c>
      <c r="T129">
        <f t="shared" ca="1" si="19"/>
        <v>1670.4476964246971</v>
      </c>
    </row>
    <row r="130" spans="1:20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10"/>
        <v>301776</v>
      </c>
      <c r="K130">
        <f t="shared" ca="1" si="11"/>
        <v>2455542</v>
      </c>
      <c r="L130">
        <f t="shared" ca="1" si="12"/>
        <v>1455625</v>
      </c>
      <c r="M130">
        <f t="shared" ca="1" si="13"/>
        <v>3088050.0000000005</v>
      </c>
      <c r="N130">
        <f t="shared" ca="1" si="14"/>
        <v>7300993</v>
      </c>
      <c r="O130">
        <f t="shared" ca="1" si="15"/>
        <v>4.1333555586205876E-2</v>
      </c>
      <c r="P130">
        <f t="shared" ca="1" si="16"/>
        <v>0.33632986636201406</v>
      </c>
      <c r="Q130">
        <f t="shared" ca="1" si="17"/>
        <v>0.19937356466442305</v>
      </c>
      <c r="R130">
        <f t="shared" ca="1" si="18"/>
        <v>0.42296301338735709</v>
      </c>
      <c r="S130" cm="1">
        <f t="array" aca="1" ref="S130" ca="1">SUMPRODUCT(O129:R129*(B130:E130-B129:E129)/B129:E129)</f>
        <v>-5.9347156767690064E-3</v>
      </c>
      <c r="T130">
        <f t="shared" ca="1" si="19"/>
        <v>1660.534064293503</v>
      </c>
    </row>
    <row r="131" spans="1:20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20">F131*B131</f>
        <v>300928</v>
      </c>
      <c r="K131">
        <f t="shared" ref="K131:K194" ca="1" si="21">G131*C131</f>
        <v>2460278</v>
      </c>
      <c r="L131">
        <f t="shared" ref="L131:L194" ca="1" si="22">H131*D131</f>
        <v>1464250</v>
      </c>
      <c r="M131">
        <f t="shared" ref="M131:M194" ca="1" si="23">I131*E131</f>
        <v>3132045</v>
      </c>
      <c r="N131">
        <f t="shared" ref="N131:N194" ca="1" si="24">SUM(J131:M131)</f>
        <v>7357501</v>
      </c>
      <c r="O131">
        <f t="shared" ref="O131:O194" ca="1" si="25">J131/N131</f>
        <v>4.090084391425839E-2</v>
      </c>
      <c r="P131">
        <f t="shared" ref="P131:P194" ca="1" si="26">K131/N131</f>
        <v>0.33439044044982119</v>
      </c>
      <c r="Q131">
        <f t="shared" ref="Q131:Q194" ca="1" si="27">L131/N131</f>
        <v>0.19901458389200355</v>
      </c>
      <c r="R131">
        <f t="shared" ref="R131:R194" ca="1" si="28">M131/N131</f>
        <v>0.42569413174391685</v>
      </c>
      <c r="S131" cm="1">
        <f t="array" aca="1" ref="S131" ca="1">SUMPRODUCT(O130:R130*(B131:E131-B130:E130)/B130:E130)</f>
        <v>7.7397690971625736E-3</v>
      </c>
      <c r="T131">
        <f t="shared" ca="1" si="19"/>
        <v>1673.3862145291075</v>
      </c>
    </row>
    <row r="132" spans="1:20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20"/>
        <v>303632</v>
      </c>
      <c r="K132">
        <f t="shared" ca="1" si="21"/>
        <v>2495280</v>
      </c>
      <c r="L132">
        <f t="shared" ca="1" si="22"/>
        <v>1486625</v>
      </c>
      <c r="M132">
        <f t="shared" ca="1" si="23"/>
        <v>3248069.9999999995</v>
      </c>
      <c r="N132">
        <f t="shared" ca="1" si="24"/>
        <v>7533607</v>
      </c>
      <c r="O132">
        <f t="shared" ca="1" si="25"/>
        <v>4.0303668614516258E-2</v>
      </c>
      <c r="P132">
        <f t="shared" ca="1" si="26"/>
        <v>0.33121982604083278</v>
      </c>
      <c r="Q132">
        <f t="shared" ca="1" si="27"/>
        <v>0.19733243318904212</v>
      </c>
      <c r="R132">
        <f t="shared" ca="1" si="28"/>
        <v>0.43114407215560879</v>
      </c>
      <c r="S132" cm="1">
        <f t="array" aca="1" ref="S132" ca="1">SUMPRODUCT(O131:R131*(B132:E132-B131:E131)/B131:E131)</f>
        <v>2.3935572689694404E-2</v>
      </c>
      <c r="T132">
        <f t="shared" ref="T132:T195" ca="1" si="29">T131*(S132+1)</f>
        <v>1713.4396719049014</v>
      </c>
    </row>
    <row r="133" spans="1:20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20"/>
        <v>304864</v>
      </c>
      <c r="K133">
        <f t="shared" ca="1" si="21"/>
        <v>2535684</v>
      </c>
      <c r="L133">
        <f t="shared" ca="1" si="22"/>
        <v>1556750</v>
      </c>
      <c r="M133">
        <f t="shared" ca="1" si="23"/>
        <v>3290805.0000000005</v>
      </c>
      <c r="N133">
        <f t="shared" ca="1" si="24"/>
        <v>7688103</v>
      </c>
      <c r="O133">
        <f t="shared" ca="1" si="25"/>
        <v>3.9653995270354729E-2</v>
      </c>
      <c r="P133">
        <f t="shared" ca="1" si="26"/>
        <v>0.32981920247426444</v>
      </c>
      <c r="Q133">
        <f t="shared" ca="1" si="27"/>
        <v>0.20248818206519867</v>
      </c>
      <c r="R133">
        <f t="shared" ca="1" si="28"/>
        <v>0.42803862019018224</v>
      </c>
      <c r="S133" cm="1">
        <f t="array" aca="1" ref="S133" ca="1">SUMPRODUCT(O132:R132*(B133:E133-B132:E132)/B132:E132)</f>
        <v>2.0507573596552191E-2</v>
      </c>
      <c r="T133">
        <f t="shared" ca="1" si="29"/>
        <v>1748.5781620797432</v>
      </c>
    </row>
    <row r="134" spans="1:20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20"/>
        <v>305104</v>
      </c>
      <c r="K134">
        <f t="shared" ca="1" si="21"/>
        <v>2554776</v>
      </c>
      <c r="L134">
        <f t="shared" ca="1" si="22"/>
        <v>1567750</v>
      </c>
      <c r="M134">
        <f t="shared" ca="1" si="23"/>
        <v>3243135</v>
      </c>
      <c r="N134">
        <f t="shared" ca="1" si="24"/>
        <v>7670765</v>
      </c>
      <c r="O134">
        <f t="shared" ca="1" si="25"/>
        <v>3.9774911628761928E-2</v>
      </c>
      <c r="P134">
        <f t="shared" ca="1" si="26"/>
        <v>0.33305361329671812</v>
      </c>
      <c r="Q134">
        <f t="shared" ca="1" si="27"/>
        <v>0.20437987606190516</v>
      </c>
      <c r="R134">
        <f t="shared" ca="1" si="28"/>
        <v>0.42279159901261476</v>
      </c>
      <c r="S134" cm="1">
        <f t="array" aca="1" ref="S134" ca="1">SUMPRODUCT(O133:R133*(B134:E134-B133:E133)/B133:E133)</f>
        <v>-2.2551726999495703E-3</v>
      </c>
      <c r="T134">
        <f t="shared" ca="1" si="29"/>
        <v>1744.6348163448929</v>
      </c>
    </row>
    <row r="135" spans="1:20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20"/>
        <v>310384</v>
      </c>
      <c r="K135">
        <f t="shared" ca="1" si="21"/>
        <v>2558402</v>
      </c>
      <c r="L135">
        <f t="shared" ca="1" si="22"/>
        <v>1558125</v>
      </c>
      <c r="M135">
        <f t="shared" ca="1" si="23"/>
        <v>3261510</v>
      </c>
      <c r="N135">
        <f t="shared" ca="1" si="24"/>
        <v>7688421</v>
      </c>
      <c r="O135">
        <f t="shared" ca="1" si="25"/>
        <v>4.0370317910530654E-2</v>
      </c>
      <c r="P135">
        <f t="shared" ca="1" si="26"/>
        <v>0.33276039384419764</v>
      </c>
      <c r="Q135">
        <f t="shared" ca="1" si="27"/>
        <v>0.20265864733473882</v>
      </c>
      <c r="R135">
        <f t="shared" ca="1" si="28"/>
        <v>0.42421064091053284</v>
      </c>
      <c r="S135" cm="1">
        <f t="array" aca="1" ref="S135" ca="1">SUMPRODUCT(O134:R134*(B135:E135-B134:E134)/B134:E134)</f>
        <v>2.3017260990266463E-3</v>
      </c>
      <c r="T135">
        <f t="shared" ca="1" si="29"/>
        <v>1748.6504878349444</v>
      </c>
    </row>
    <row r="136" spans="1:20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20"/>
        <v>309968</v>
      </c>
      <c r="K136">
        <f t="shared" ca="1" si="21"/>
        <v>2660226</v>
      </c>
      <c r="L136">
        <f t="shared" ca="1" si="22"/>
        <v>1547000</v>
      </c>
      <c r="M136">
        <f t="shared" ca="1" si="23"/>
        <v>3276525</v>
      </c>
      <c r="N136">
        <f t="shared" ca="1" si="24"/>
        <v>7793719</v>
      </c>
      <c r="O136">
        <f t="shared" ca="1" si="25"/>
        <v>3.9771513445634878E-2</v>
      </c>
      <c r="P136">
        <f t="shared" ca="1" si="26"/>
        <v>0.34132947313086348</v>
      </c>
      <c r="Q136">
        <f t="shared" ca="1" si="27"/>
        <v>0.19849317123185992</v>
      </c>
      <c r="R136">
        <f t="shared" ca="1" si="28"/>
        <v>0.42040584219164173</v>
      </c>
      <c r="S136" cm="1">
        <f t="array" aca="1" ref="S136" ca="1">SUMPRODUCT(O135:R135*(B136:E136-B135:E135)/B135:E135)</f>
        <v>1.3695660006131292E-2</v>
      </c>
      <c r="T136">
        <f t="shared" ca="1" si="29"/>
        <v>1772.5994103858875</v>
      </c>
    </row>
    <row r="137" spans="1:20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20"/>
        <v>312160</v>
      </c>
      <c r="K137">
        <f t="shared" ca="1" si="21"/>
        <v>2627592</v>
      </c>
      <c r="L137">
        <f t="shared" ca="1" si="22"/>
        <v>1525375</v>
      </c>
      <c r="M137">
        <f t="shared" ca="1" si="23"/>
        <v>3318105</v>
      </c>
      <c r="N137">
        <f t="shared" ca="1" si="24"/>
        <v>7783232</v>
      </c>
      <c r="O137">
        <f t="shared" ca="1" si="25"/>
        <v>4.0106732010558081E-2</v>
      </c>
      <c r="P137">
        <f t="shared" ca="1" si="26"/>
        <v>0.33759651517518685</v>
      </c>
      <c r="Q137">
        <f t="shared" ca="1" si="27"/>
        <v>0.19598220893325549</v>
      </c>
      <c r="R137">
        <f t="shared" ca="1" si="28"/>
        <v>0.42631454388099954</v>
      </c>
      <c r="S137" cm="1">
        <f t="array" aca="1" ref="S137" ca="1">SUMPRODUCT(O136:R136*(B137:E137-B136:E136)/B136:E136)</f>
        <v>-1.3455707089260523E-3</v>
      </c>
      <c r="T137">
        <f t="shared" ca="1" si="29"/>
        <v>1770.2142525406127</v>
      </c>
    </row>
    <row r="138" spans="1:20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20"/>
        <v>309008</v>
      </c>
      <c r="K138">
        <f t="shared" ca="1" si="21"/>
        <v>2566838</v>
      </c>
      <c r="L138">
        <f t="shared" ca="1" si="22"/>
        <v>1490000</v>
      </c>
      <c r="M138">
        <f t="shared" ca="1" si="23"/>
        <v>3176460</v>
      </c>
      <c r="N138">
        <f t="shared" ca="1" si="24"/>
        <v>7542306</v>
      </c>
      <c r="O138">
        <f t="shared" ca="1" si="25"/>
        <v>4.0969963297697018E-2</v>
      </c>
      <c r="P138">
        <f t="shared" ca="1" si="26"/>
        <v>0.34032535937947889</v>
      </c>
      <c r="Q138">
        <f t="shared" ca="1" si="27"/>
        <v>0.19755231357624578</v>
      </c>
      <c r="R138">
        <f t="shared" ca="1" si="28"/>
        <v>0.42115236374657833</v>
      </c>
      <c r="S138" cm="1">
        <f t="array" aca="1" ref="S138" ca="1">SUMPRODUCT(O137:R137*(B138:E138-B137:E137)/B137:E137)</f>
        <v>-3.0954492940721792E-2</v>
      </c>
      <c r="T138">
        <f t="shared" ca="1" si="29"/>
        <v>1715.4181679567791</v>
      </c>
    </row>
    <row r="139" spans="1:20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20"/>
        <v>307104</v>
      </c>
      <c r="K139">
        <f t="shared" ca="1" si="21"/>
        <v>2543898</v>
      </c>
      <c r="L139">
        <f t="shared" ca="1" si="22"/>
        <v>1500250</v>
      </c>
      <c r="M139">
        <f t="shared" ca="1" si="23"/>
        <v>3089730</v>
      </c>
      <c r="N139">
        <f t="shared" ca="1" si="24"/>
        <v>7440982</v>
      </c>
      <c r="O139">
        <f t="shared" ca="1" si="25"/>
        <v>4.1271971898332774E-2</v>
      </c>
      <c r="P139">
        <f t="shared" ca="1" si="26"/>
        <v>0.34187665015182134</v>
      </c>
      <c r="Q139">
        <f t="shared" ca="1" si="27"/>
        <v>0.20161989371832911</v>
      </c>
      <c r="R139">
        <f t="shared" ca="1" si="28"/>
        <v>0.41523148423151673</v>
      </c>
      <c r="S139" cm="1">
        <f t="array" aca="1" ref="S139" ca="1">SUMPRODUCT(O138:R138*(B139:E139-B138:E138)/B138:E138)</f>
        <v>-1.3434087664966149E-2</v>
      </c>
      <c r="T139">
        <f t="shared" ca="1" si="29"/>
        <v>1692.3730899063721</v>
      </c>
    </row>
    <row r="140" spans="1:20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20"/>
        <v>308400</v>
      </c>
      <c r="K140">
        <f t="shared" ca="1" si="21"/>
        <v>2553814</v>
      </c>
      <c r="L140">
        <f t="shared" ca="1" si="22"/>
        <v>1519125</v>
      </c>
      <c r="M140">
        <f t="shared" ca="1" si="23"/>
        <v>3061905</v>
      </c>
      <c r="N140">
        <f t="shared" ca="1" si="24"/>
        <v>7443244</v>
      </c>
      <c r="O140">
        <f t="shared" ca="1" si="25"/>
        <v>4.143354698569602E-2</v>
      </c>
      <c r="P140">
        <f t="shared" ca="1" si="26"/>
        <v>0.34310496874749774</v>
      </c>
      <c r="Q140">
        <f t="shared" ca="1" si="27"/>
        <v>0.20409447816032902</v>
      </c>
      <c r="R140">
        <f t="shared" ca="1" si="28"/>
        <v>0.41136700610647725</v>
      </c>
      <c r="S140" cm="1">
        <f t="array" aca="1" ref="S140" ca="1">SUMPRODUCT(O139:R139*(B140:E140-B139:E139)/B139:E139)</f>
        <v>3.0399213437158406E-4</v>
      </c>
      <c r="T140">
        <f t="shared" ca="1" si="29"/>
        <v>1692.8875580141257</v>
      </c>
    </row>
    <row r="141" spans="1:20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20"/>
        <v>309792</v>
      </c>
      <c r="K141">
        <f t="shared" ca="1" si="21"/>
        <v>2597252</v>
      </c>
      <c r="L141">
        <f t="shared" ca="1" si="22"/>
        <v>1527625</v>
      </c>
      <c r="M141">
        <f t="shared" ca="1" si="23"/>
        <v>3091935.0000000005</v>
      </c>
      <c r="N141">
        <f t="shared" ca="1" si="24"/>
        <v>7526604</v>
      </c>
      <c r="O141">
        <f t="shared" ca="1" si="25"/>
        <v>4.1159598671592128E-2</v>
      </c>
      <c r="P141">
        <f t="shared" ca="1" si="26"/>
        <v>0.34507621232630281</v>
      </c>
      <c r="Q141">
        <f t="shared" ca="1" si="27"/>
        <v>0.20296338162602948</v>
      </c>
      <c r="R141">
        <f t="shared" ca="1" si="28"/>
        <v>0.41080080737607566</v>
      </c>
      <c r="S141" cm="1">
        <f t="array" aca="1" ref="S141" ca="1">SUMPRODUCT(O140:R140*(B141:E141-B140:E140)/B140:E140)</f>
        <v>1.1199417888221867E-2</v>
      </c>
      <c r="T141">
        <f t="shared" ca="1" si="29"/>
        <v>1711.8469132140972</v>
      </c>
    </row>
    <row r="142" spans="1:20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20"/>
        <v>311200</v>
      </c>
      <c r="K142">
        <f t="shared" ca="1" si="21"/>
        <v>2499498</v>
      </c>
      <c r="L142">
        <f t="shared" ca="1" si="22"/>
        <v>1615875.0000000002</v>
      </c>
      <c r="M142">
        <f t="shared" ca="1" si="23"/>
        <v>3134985</v>
      </c>
      <c r="N142">
        <f t="shared" ca="1" si="24"/>
        <v>7561558</v>
      </c>
      <c r="O142">
        <f t="shared" ca="1" si="25"/>
        <v>4.1155539638788728E-2</v>
      </c>
      <c r="P142">
        <f t="shared" ca="1" si="26"/>
        <v>0.33055330660691884</v>
      </c>
      <c r="Q142">
        <f t="shared" ca="1" si="27"/>
        <v>0.21369603989019198</v>
      </c>
      <c r="R142">
        <f t="shared" ca="1" si="28"/>
        <v>0.41459511386410047</v>
      </c>
      <c r="S142" cm="1">
        <f t="array" aca="1" ref="S142" ca="1">SUMPRODUCT(O141:R141*(B142:E142-B141:E141)/B141:E141)</f>
        <v>4.6440599239709673E-3</v>
      </c>
      <c r="T142">
        <f t="shared" ca="1" si="29"/>
        <v>1719.7968328597283</v>
      </c>
    </row>
    <row r="143" spans="1:20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20"/>
        <v>309152</v>
      </c>
      <c r="K143">
        <f t="shared" ca="1" si="21"/>
        <v>2447328</v>
      </c>
      <c r="L143">
        <f t="shared" ca="1" si="22"/>
        <v>1617500</v>
      </c>
      <c r="M143">
        <f t="shared" ca="1" si="23"/>
        <v>3272955</v>
      </c>
      <c r="N143">
        <f t="shared" ca="1" si="24"/>
        <v>7646935</v>
      </c>
      <c r="O143">
        <f t="shared" ca="1" si="25"/>
        <v>4.0428223857009379E-2</v>
      </c>
      <c r="P143">
        <f t="shared" ca="1" si="26"/>
        <v>0.32004038219234243</v>
      </c>
      <c r="Q143">
        <f t="shared" ca="1" si="27"/>
        <v>0.21152265580915752</v>
      </c>
      <c r="R143">
        <f t="shared" ca="1" si="28"/>
        <v>0.42800873814149065</v>
      </c>
      <c r="S143" cm="1">
        <f t="array" aca="1" ref="S143" ca="1">SUMPRODUCT(O142:R142*(B143:E143-B142:E142)/B142:E142)</f>
        <v>1.1290927081429532E-2</v>
      </c>
      <c r="T143">
        <f t="shared" ca="1" si="29"/>
        <v>1739.2149334944208</v>
      </c>
    </row>
    <row r="144" spans="1:20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20"/>
        <v>313328</v>
      </c>
      <c r="K144">
        <f t="shared" ca="1" si="21"/>
        <v>2503938</v>
      </c>
      <c r="L144">
        <f t="shared" ca="1" si="22"/>
        <v>1657250.0000000002</v>
      </c>
      <c r="M144">
        <f t="shared" ca="1" si="23"/>
        <v>3417540</v>
      </c>
      <c r="N144">
        <f t="shared" ca="1" si="24"/>
        <v>7892056</v>
      </c>
      <c r="O144">
        <f t="shared" ca="1" si="25"/>
        <v>3.9701694970233362E-2</v>
      </c>
      <c r="P144">
        <f t="shared" ca="1" si="26"/>
        <v>0.31727321752405202</v>
      </c>
      <c r="Q144">
        <f t="shared" ca="1" si="27"/>
        <v>0.20998964021542679</v>
      </c>
      <c r="R144">
        <f t="shared" ca="1" si="28"/>
        <v>0.43303544729028787</v>
      </c>
      <c r="S144" cm="1">
        <f t="array" aca="1" ref="S144" ca="1">SUMPRODUCT(O143:R143*(B144:E144-B143:E143)/B143:E143)</f>
        <v>3.2054803656628481E-2</v>
      </c>
      <c r="T144">
        <f t="shared" ca="1" si="29"/>
        <v>1794.9651267042605</v>
      </c>
    </row>
    <row r="145" spans="1:20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20"/>
        <v>314320</v>
      </c>
      <c r="K145">
        <f t="shared" ca="1" si="21"/>
        <v>2485808</v>
      </c>
      <c r="L145">
        <f t="shared" ca="1" si="22"/>
        <v>1659000</v>
      </c>
      <c r="M145">
        <f t="shared" ca="1" si="23"/>
        <v>3345300.0000000005</v>
      </c>
      <c r="N145">
        <f t="shared" ca="1" si="24"/>
        <v>7804428</v>
      </c>
      <c r="O145">
        <f t="shared" ca="1" si="25"/>
        <v>4.0274572332527125E-2</v>
      </c>
      <c r="P145">
        <f t="shared" ca="1" si="26"/>
        <v>0.318512516227967</v>
      </c>
      <c r="Q145">
        <f t="shared" ca="1" si="27"/>
        <v>0.21257163241175395</v>
      </c>
      <c r="R145">
        <f t="shared" ca="1" si="28"/>
        <v>0.42864127902775201</v>
      </c>
      <c r="S145" cm="1">
        <f t="array" aca="1" ref="S145" ca="1">SUMPRODUCT(O144:R144*(B145:E145-B144:E144)/B144:E144)</f>
        <v>-1.1103317057050796E-2</v>
      </c>
      <c r="T145">
        <f t="shared" ca="1" si="29"/>
        <v>1775.0350597961137</v>
      </c>
    </row>
    <row r="146" spans="1:20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20"/>
        <v>312968</v>
      </c>
      <c r="K146">
        <f t="shared" ca="1" si="21"/>
        <v>2488916</v>
      </c>
      <c r="L146">
        <f t="shared" ca="1" si="22"/>
        <v>1644375.0000000002</v>
      </c>
      <c r="M146">
        <f t="shared" ca="1" si="23"/>
        <v>3388455</v>
      </c>
      <c r="N146">
        <f t="shared" ca="1" si="24"/>
        <v>7834714</v>
      </c>
      <c r="O146">
        <f t="shared" ca="1" si="25"/>
        <v>3.9946320950579692E-2</v>
      </c>
      <c r="P146">
        <f t="shared" ca="1" si="26"/>
        <v>0.31767796501569806</v>
      </c>
      <c r="Q146">
        <f t="shared" ca="1" si="27"/>
        <v>0.2098832197320796</v>
      </c>
      <c r="R146">
        <f t="shared" ca="1" si="28"/>
        <v>0.43249249430164266</v>
      </c>
      <c r="S146" cm="1">
        <f t="array" aca="1" ref="S146" ca="1">SUMPRODUCT(O145:R145*(B146:E146-B145:E145)/B145:E145)</f>
        <v>3.8806175161074465E-3</v>
      </c>
      <c r="T146">
        <f t="shared" ca="1" si="29"/>
        <v>1781.9232919408635</v>
      </c>
    </row>
    <row r="147" spans="1:20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20"/>
        <v>308128</v>
      </c>
      <c r="K147">
        <f t="shared" ca="1" si="21"/>
        <v>2423500</v>
      </c>
      <c r="L147">
        <f t="shared" ca="1" si="22"/>
        <v>1604750</v>
      </c>
      <c r="M147">
        <f t="shared" ca="1" si="23"/>
        <v>3300255</v>
      </c>
      <c r="N147">
        <f t="shared" ca="1" si="24"/>
        <v>7636633</v>
      </c>
      <c r="O147">
        <f t="shared" ca="1" si="25"/>
        <v>4.0348671986725038E-2</v>
      </c>
      <c r="P147">
        <f t="shared" ca="1" si="26"/>
        <v>0.31735190102758637</v>
      </c>
      <c r="Q147">
        <f t="shared" ca="1" si="27"/>
        <v>0.2101384209506991</v>
      </c>
      <c r="R147">
        <f t="shared" ca="1" si="28"/>
        <v>0.43216100603498953</v>
      </c>
      <c r="S147" cm="1">
        <f t="array" aca="1" ref="S147" ca="1">SUMPRODUCT(O146:R146*(B147:E147-B146:E146)/B146:E146)</f>
        <v>-2.5282479998631702E-2</v>
      </c>
      <c r="T147">
        <f t="shared" ca="1" si="29"/>
        <v>1736.8718519532724</v>
      </c>
    </row>
    <row r="148" spans="1:20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20"/>
        <v>305872</v>
      </c>
      <c r="K148">
        <f t="shared" ca="1" si="21"/>
        <v>2417284</v>
      </c>
      <c r="L148">
        <f t="shared" ca="1" si="22"/>
        <v>1605624.9999999998</v>
      </c>
      <c r="M148">
        <f t="shared" ca="1" si="23"/>
        <v>3288495</v>
      </c>
      <c r="N148">
        <f t="shared" ca="1" si="24"/>
        <v>7617276</v>
      </c>
      <c r="O148">
        <f t="shared" ca="1" si="25"/>
        <v>4.0155037049990051E-2</v>
      </c>
      <c r="P148">
        <f t="shared" ca="1" si="26"/>
        <v>0.31734231502180044</v>
      </c>
      <c r="Q148">
        <f t="shared" ca="1" si="27"/>
        <v>0.21078729456566886</v>
      </c>
      <c r="R148">
        <f t="shared" ca="1" si="28"/>
        <v>0.43171535336254063</v>
      </c>
      <c r="S148" cm="1">
        <f t="array" aca="1" ref="S148" ca="1">SUMPRODUCT(O147:R147*(B148:E148-B147:E147)/B147:E147)</f>
        <v>-2.5347558276009844E-3</v>
      </c>
      <c r="T148">
        <f t="shared" ca="1" si="29"/>
        <v>1732.4693059047377</v>
      </c>
    </row>
    <row r="149" spans="1:20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20"/>
        <v>291184</v>
      </c>
      <c r="K149">
        <f t="shared" ca="1" si="21"/>
        <v>2425572</v>
      </c>
      <c r="L149">
        <f t="shared" ca="1" si="22"/>
        <v>1601375.0000000002</v>
      </c>
      <c r="M149">
        <f t="shared" ca="1" si="23"/>
        <v>3262665</v>
      </c>
      <c r="N149">
        <f t="shared" ca="1" si="24"/>
        <v>7580796</v>
      </c>
      <c r="O149">
        <f t="shared" ca="1" si="25"/>
        <v>3.8410742090936097E-2</v>
      </c>
      <c r="P149">
        <f t="shared" ca="1" si="26"/>
        <v>0.31996270576335256</v>
      </c>
      <c r="Q149">
        <f t="shared" ca="1" si="27"/>
        <v>0.21124100951931701</v>
      </c>
      <c r="R149">
        <f t="shared" ca="1" si="28"/>
        <v>0.43038554262639439</v>
      </c>
      <c r="S149" cm="1">
        <f t="array" aca="1" ref="S149" ca="1">SUMPRODUCT(O148:R148*(B149:E149-B148:E148)/B148:E148)</f>
        <v>-4.7891135886371748E-3</v>
      </c>
      <c r="T149">
        <f t="shared" ca="1" si="29"/>
        <v>1724.1723136099324</v>
      </c>
    </row>
    <row r="150" spans="1:20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20"/>
        <v>286160</v>
      </c>
      <c r="K150">
        <f t="shared" ca="1" si="21"/>
        <v>2442814</v>
      </c>
      <c r="L150">
        <f t="shared" ca="1" si="22"/>
        <v>1644125</v>
      </c>
      <c r="M150">
        <f t="shared" ca="1" si="23"/>
        <v>3323880</v>
      </c>
      <c r="N150">
        <f t="shared" ca="1" si="24"/>
        <v>7696979</v>
      </c>
      <c r="O150">
        <f t="shared" ca="1" si="25"/>
        <v>3.7178222780651991E-2</v>
      </c>
      <c r="P150">
        <f t="shared" ca="1" si="26"/>
        <v>0.31737308884433751</v>
      </c>
      <c r="Q150">
        <f t="shared" ca="1" si="27"/>
        <v>0.21360653316060757</v>
      </c>
      <c r="R150">
        <f t="shared" ca="1" si="28"/>
        <v>0.43184215521440295</v>
      </c>
      <c r="S150" cm="1">
        <f t="array" aca="1" ref="S150" ca="1">SUMPRODUCT(O149:R149*(B150:E150-B149:E149)/B149:E149)</f>
        <v>1.5325963131048502E-2</v>
      </c>
      <c r="T150">
        <f t="shared" ca="1" si="29"/>
        <v>1750.5969149198929</v>
      </c>
    </row>
    <row r="151" spans="1:20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20"/>
        <v>287680</v>
      </c>
      <c r="K151">
        <f t="shared" ca="1" si="21"/>
        <v>2412770</v>
      </c>
      <c r="L151">
        <f t="shared" ca="1" si="22"/>
        <v>1642500</v>
      </c>
      <c r="M151">
        <f t="shared" ca="1" si="23"/>
        <v>3282720</v>
      </c>
      <c r="N151">
        <f t="shared" ca="1" si="24"/>
        <v>7625670</v>
      </c>
      <c r="O151">
        <f t="shared" ca="1" si="25"/>
        <v>3.7725209719277127E-2</v>
      </c>
      <c r="P151">
        <f t="shared" ca="1" si="26"/>
        <v>0.31640105066177793</v>
      </c>
      <c r="Q151">
        <f t="shared" ca="1" si="27"/>
        <v>0.21539090991348958</v>
      </c>
      <c r="R151">
        <f t="shared" ca="1" si="28"/>
        <v>0.43048282970545537</v>
      </c>
      <c r="S151" cm="1">
        <f t="array" aca="1" ref="S151" ca="1">SUMPRODUCT(O150:R150*(B151:E151-B150:E150)/B150:E150)</f>
        <v>-9.2645439204134625E-3</v>
      </c>
      <c r="T151">
        <f t="shared" ca="1" si="29"/>
        <v>1734.3784329146774</v>
      </c>
    </row>
    <row r="152" spans="1:20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20"/>
        <v>285104</v>
      </c>
      <c r="K152">
        <f t="shared" ca="1" si="21"/>
        <v>2384502</v>
      </c>
      <c r="L152">
        <f t="shared" ca="1" si="22"/>
        <v>1620750</v>
      </c>
      <c r="M152">
        <f t="shared" ca="1" si="23"/>
        <v>3204705</v>
      </c>
      <c r="N152">
        <f t="shared" ca="1" si="24"/>
        <v>7495061</v>
      </c>
      <c r="O152">
        <f t="shared" ca="1" si="25"/>
        <v>3.803891656118609E-2</v>
      </c>
      <c r="P152">
        <f t="shared" ca="1" si="26"/>
        <v>0.31814310784128375</v>
      </c>
      <c r="Q152">
        <f t="shared" ca="1" si="27"/>
        <v>0.21624240283034388</v>
      </c>
      <c r="R152">
        <f t="shared" ca="1" si="28"/>
        <v>0.42757557276718627</v>
      </c>
      <c r="S152" cm="1">
        <f t="array" aca="1" ref="S152" ca="1">SUMPRODUCT(O151:R151*(B152:E152-B151:E151)/B151:E151)</f>
        <v>-1.7127544202673359E-2</v>
      </c>
      <c r="T152">
        <f t="shared" ca="1" si="29"/>
        <v>1704.6727896407679</v>
      </c>
    </row>
    <row r="153" spans="1:20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20"/>
        <v>284752</v>
      </c>
      <c r="K153">
        <f t="shared" ca="1" si="21"/>
        <v>2389682</v>
      </c>
      <c r="L153">
        <f t="shared" ca="1" si="22"/>
        <v>1621125</v>
      </c>
      <c r="M153">
        <f t="shared" ca="1" si="23"/>
        <v>3210270</v>
      </c>
      <c r="N153">
        <f t="shared" ca="1" si="24"/>
        <v>7505829</v>
      </c>
      <c r="O153">
        <f t="shared" ca="1" si="25"/>
        <v>3.7937448348476899E-2</v>
      </c>
      <c r="P153">
        <f t="shared" ca="1" si="26"/>
        <v>0.31837682419889929</v>
      </c>
      <c r="Q153">
        <f t="shared" ca="1" si="27"/>
        <v>0.21598213868181648</v>
      </c>
      <c r="R153">
        <f t="shared" ca="1" si="28"/>
        <v>0.42770358877080733</v>
      </c>
      <c r="S153" cm="1">
        <f t="array" aca="1" ref="S153" ca="1">SUMPRODUCT(O152:R152*(B153:E153-B152:E152)/B152:E152)</f>
        <v>1.4366794346303844E-3</v>
      </c>
      <c r="T153">
        <f t="shared" ca="1" si="29"/>
        <v>1707.1218579804186</v>
      </c>
    </row>
    <row r="154" spans="1:20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20"/>
        <v>284464</v>
      </c>
      <c r="K154">
        <f t="shared" ca="1" si="21"/>
        <v>2375474</v>
      </c>
      <c r="L154">
        <f t="shared" ca="1" si="22"/>
        <v>1619500</v>
      </c>
      <c r="M154">
        <f t="shared" ca="1" si="23"/>
        <v>3167220</v>
      </c>
      <c r="N154">
        <f t="shared" ca="1" si="24"/>
        <v>7446658</v>
      </c>
      <c r="O154">
        <f t="shared" ca="1" si="25"/>
        <v>3.8200223509660305E-2</v>
      </c>
      <c r="P154">
        <f t="shared" ca="1" si="26"/>
        <v>0.3189986702759815</v>
      </c>
      <c r="Q154">
        <f t="shared" ca="1" si="27"/>
        <v>0.21748010986942062</v>
      </c>
      <c r="R154">
        <f t="shared" ca="1" si="28"/>
        <v>0.42532099634493753</v>
      </c>
      <c r="S154" cm="1">
        <f t="array" aca="1" ref="S154" ca="1">SUMPRODUCT(O153:R153*(B154:E154-B153:E153)/B153:E153)</f>
        <v>-7.8833397350246467E-3</v>
      </c>
      <c r="T154">
        <f t="shared" ca="1" si="29"/>
        <v>1693.6640364048724</v>
      </c>
    </row>
    <row r="155" spans="1:20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20"/>
        <v>287136</v>
      </c>
      <c r="K155">
        <f t="shared" ca="1" si="21"/>
        <v>2397896</v>
      </c>
      <c r="L155">
        <f t="shared" ca="1" si="22"/>
        <v>1641625.0000000002</v>
      </c>
      <c r="M155">
        <f t="shared" ca="1" si="23"/>
        <v>3214995</v>
      </c>
      <c r="N155">
        <f t="shared" ca="1" si="24"/>
        <v>7541652</v>
      </c>
      <c r="O155">
        <f t="shared" ca="1" si="25"/>
        <v>3.8073355811167102E-2</v>
      </c>
      <c r="P155">
        <f t="shared" ca="1" si="26"/>
        <v>0.31795367911433731</v>
      </c>
      <c r="Q155">
        <f t="shared" ca="1" si="27"/>
        <v>0.21767445647187117</v>
      </c>
      <c r="R155">
        <f t="shared" ca="1" si="28"/>
        <v>0.42629850860262447</v>
      </c>
      <c r="S155" cm="1">
        <f t="array" aca="1" ref="S155" ca="1">SUMPRODUCT(O154:R154*(B155:E155-B154:E154)/B154:E154)</f>
        <v>1.2756594971865298E-2</v>
      </c>
      <c r="T155">
        <f t="shared" ca="1" si="29"/>
        <v>1715.2694225357038</v>
      </c>
    </row>
    <row r="156" spans="1:20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20"/>
        <v>283920</v>
      </c>
      <c r="K156">
        <f t="shared" ca="1" si="21"/>
        <v>2381764</v>
      </c>
      <c r="L156">
        <f t="shared" ca="1" si="22"/>
        <v>1622250</v>
      </c>
      <c r="M156">
        <f t="shared" ca="1" si="23"/>
        <v>3170475</v>
      </c>
      <c r="N156">
        <f t="shared" ca="1" si="24"/>
        <v>7458409</v>
      </c>
      <c r="O156">
        <f t="shared" ca="1" si="25"/>
        <v>3.8067099833221804E-2</v>
      </c>
      <c r="P156">
        <f t="shared" ca="1" si="26"/>
        <v>0.31933941943918603</v>
      </c>
      <c r="Q156">
        <f t="shared" ca="1" si="27"/>
        <v>0.21750617323346039</v>
      </c>
      <c r="R156">
        <f t="shared" ca="1" si="28"/>
        <v>0.42508730749413182</v>
      </c>
      <c r="S156" cm="1">
        <f t="array" aca="1" ref="S156" ca="1">SUMPRODUCT(O155:R155*(B156:E156-B155:E155)/B155:E155)</f>
        <v>-1.1037767322066879E-2</v>
      </c>
      <c r="T156">
        <f t="shared" ca="1" si="29"/>
        <v>1696.3366777550987</v>
      </c>
    </row>
    <row r="157" spans="1:20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20"/>
        <v>282512</v>
      </c>
      <c r="K157">
        <f t="shared" ca="1" si="21"/>
        <v>2370960</v>
      </c>
      <c r="L157">
        <f t="shared" ca="1" si="22"/>
        <v>1608749.9999999998</v>
      </c>
      <c r="M157">
        <f t="shared" ca="1" si="23"/>
        <v>3090045</v>
      </c>
      <c r="N157">
        <f t="shared" ca="1" si="24"/>
        <v>7352267</v>
      </c>
      <c r="O157">
        <f t="shared" ca="1" si="25"/>
        <v>3.842515512562316E-2</v>
      </c>
      <c r="P157">
        <f t="shared" ca="1" si="26"/>
        <v>0.32248012755793554</v>
      </c>
      <c r="Q157">
        <f t="shared" ca="1" si="27"/>
        <v>0.21881006225698818</v>
      </c>
      <c r="R157">
        <f t="shared" ca="1" si="28"/>
        <v>0.42028465505945312</v>
      </c>
      <c r="S157" cm="1">
        <f t="array" aca="1" ref="S157" ca="1">SUMPRODUCT(O156:R156*(B157:E157-B156:E156)/B156:E156)</f>
        <v>-1.423118522998673E-2</v>
      </c>
      <c r="T157">
        <f t="shared" ca="1" si="29"/>
        <v>1672.1957962815457</v>
      </c>
    </row>
    <row r="158" spans="1:20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20"/>
        <v>278400</v>
      </c>
      <c r="K158">
        <f t="shared" ca="1" si="21"/>
        <v>2344912</v>
      </c>
      <c r="L158">
        <f t="shared" ca="1" si="22"/>
        <v>1623999.9999999998</v>
      </c>
      <c r="M158">
        <f t="shared" ca="1" si="23"/>
        <v>2993444.9999999995</v>
      </c>
      <c r="N158">
        <f t="shared" ca="1" si="24"/>
        <v>7240757</v>
      </c>
      <c r="O158">
        <f t="shared" ca="1" si="25"/>
        <v>3.8449018521129766E-2</v>
      </c>
      <c r="P158">
        <f t="shared" ca="1" si="26"/>
        <v>0.32384901191961007</v>
      </c>
      <c r="Q158">
        <f t="shared" ca="1" si="27"/>
        <v>0.22428594137325694</v>
      </c>
      <c r="R158">
        <f t="shared" ca="1" si="28"/>
        <v>0.41341602818600315</v>
      </c>
      <c r="S158" cm="1">
        <f t="array" aca="1" ref="S158" ca="1">SUMPRODUCT(O157:R157*(B158:E158-B157:E157)/B157:E157)</f>
        <v>-1.5166750609029889E-2</v>
      </c>
      <c r="T158">
        <f t="shared" ca="1" si="29"/>
        <v>1646.8340196698755</v>
      </c>
    </row>
    <row r="159" spans="1:20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20"/>
        <v>279184</v>
      </c>
      <c r="K159">
        <f t="shared" ca="1" si="21"/>
        <v>2341952</v>
      </c>
      <c r="L159">
        <f t="shared" ca="1" si="22"/>
        <v>1593250</v>
      </c>
      <c r="M159">
        <f t="shared" ca="1" si="23"/>
        <v>2974125</v>
      </c>
      <c r="N159">
        <f t="shared" ca="1" si="24"/>
        <v>7188511</v>
      </c>
      <c r="O159">
        <f t="shared" ca="1" si="25"/>
        <v>3.8837528383833593E-2</v>
      </c>
      <c r="P159">
        <f t="shared" ca="1" si="26"/>
        <v>0.32579097395830653</v>
      </c>
      <c r="Q159">
        <f t="shared" ca="1" si="27"/>
        <v>0.22163838936881367</v>
      </c>
      <c r="R159">
        <f t="shared" ca="1" si="28"/>
        <v>0.41373310828904625</v>
      </c>
      <c r="S159" cm="1">
        <f t="array" aca="1" ref="S159" ca="1">SUMPRODUCT(O158:R158*(B159:E159-B158:E158)/B158:E158)</f>
        <v>-7.2155438996225774E-3</v>
      </c>
      <c r="T159">
        <f t="shared" ca="1" si="29"/>
        <v>1634.9512165055557</v>
      </c>
    </row>
    <row r="160" spans="1:20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20"/>
        <v>281344</v>
      </c>
      <c r="K160">
        <f t="shared" ca="1" si="21"/>
        <v>2381912</v>
      </c>
      <c r="L160">
        <f t="shared" ca="1" si="22"/>
        <v>1604625</v>
      </c>
      <c r="M160">
        <f t="shared" ca="1" si="23"/>
        <v>3043949.9999999995</v>
      </c>
      <c r="N160">
        <f t="shared" ca="1" si="24"/>
        <v>7311831</v>
      </c>
      <c r="O160">
        <f t="shared" ca="1" si="25"/>
        <v>3.8477913398162512E-2</v>
      </c>
      <c r="P160">
        <f t="shared" ca="1" si="26"/>
        <v>0.32576135854343463</v>
      </c>
      <c r="Q160">
        <f t="shared" ca="1" si="27"/>
        <v>0.21945597484405752</v>
      </c>
      <c r="R160">
        <f t="shared" ca="1" si="28"/>
        <v>0.41630475321434529</v>
      </c>
      <c r="S160" cm="1">
        <f t="array" aca="1" ref="S160" ca="1">SUMPRODUCT(O159:R159*(B160:E160-B159:E159)/B159:E159)</f>
        <v>1.715515215877109E-2</v>
      </c>
      <c r="T160">
        <f t="shared" ca="1" si="29"/>
        <v>1662.9990533968767</v>
      </c>
    </row>
    <row r="161" spans="1:20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20"/>
        <v>283568</v>
      </c>
      <c r="K161">
        <f t="shared" ca="1" si="21"/>
        <v>2386204</v>
      </c>
      <c r="L161">
        <f t="shared" ca="1" si="22"/>
        <v>1613500.0000000002</v>
      </c>
      <c r="M161">
        <f t="shared" ca="1" si="23"/>
        <v>3019800.0000000005</v>
      </c>
      <c r="N161">
        <f t="shared" ca="1" si="24"/>
        <v>7303072</v>
      </c>
      <c r="O161">
        <f t="shared" ca="1" si="25"/>
        <v>3.8828591584472945E-2</v>
      </c>
      <c r="P161">
        <f t="shared" ca="1" si="26"/>
        <v>0.32673976102111552</v>
      </c>
      <c r="Q161">
        <f t="shared" ca="1" si="27"/>
        <v>0.22093442321258783</v>
      </c>
      <c r="R161">
        <f t="shared" ca="1" si="28"/>
        <v>0.41349722418182383</v>
      </c>
      <c r="S161" cm="1">
        <f t="array" aca="1" ref="S161" ca="1">SUMPRODUCT(O160:R160*(B161:E161-B160:E160)/B160:E160)</f>
        <v>-1.1979215602767024E-3</v>
      </c>
      <c r="T161">
        <f t="shared" ca="1" si="29"/>
        <v>1661.006910976093</v>
      </c>
    </row>
    <row r="162" spans="1:20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20"/>
        <v>289792</v>
      </c>
      <c r="K162">
        <f t="shared" ca="1" si="21"/>
        <v>2419800</v>
      </c>
      <c r="L162">
        <f t="shared" ca="1" si="22"/>
        <v>1654625</v>
      </c>
      <c r="M162">
        <f t="shared" ca="1" si="23"/>
        <v>3089520</v>
      </c>
      <c r="N162">
        <f t="shared" ca="1" si="24"/>
        <v>7453737</v>
      </c>
      <c r="O162">
        <f t="shared" ca="1" si="25"/>
        <v>3.8878753033545453E-2</v>
      </c>
      <c r="P162">
        <f t="shared" ca="1" si="26"/>
        <v>0.32464252495090717</v>
      </c>
      <c r="Q162">
        <f t="shared" ca="1" si="27"/>
        <v>0.22198596489250963</v>
      </c>
      <c r="R162">
        <f t="shared" ca="1" si="28"/>
        <v>0.41449275712303774</v>
      </c>
      <c r="S162" cm="1">
        <f t="array" aca="1" ref="S162" ca="1">SUMPRODUCT(O161:R161*(B162:E162-B161:E161)/B161:E161)</f>
        <v>2.0630359388487465E-2</v>
      </c>
      <c r="T162">
        <f t="shared" ca="1" si="29"/>
        <v>1695.2740804962914</v>
      </c>
    </row>
    <row r="163" spans="1:20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20"/>
        <v>282208</v>
      </c>
      <c r="K163">
        <f t="shared" ca="1" si="21"/>
        <v>2367778</v>
      </c>
      <c r="L163">
        <f t="shared" ca="1" si="22"/>
        <v>1622250</v>
      </c>
      <c r="M163">
        <f t="shared" ca="1" si="23"/>
        <v>3010875</v>
      </c>
      <c r="N163">
        <f t="shared" ca="1" si="24"/>
        <v>7283111</v>
      </c>
      <c r="O163">
        <f t="shared" ca="1" si="25"/>
        <v>3.874827666364003E-2</v>
      </c>
      <c r="P163">
        <f t="shared" ca="1" si="26"/>
        <v>0.32510530184147957</v>
      </c>
      <c r="Q163">
        <f t="shared" ca="1" si="27"/>
        <v>0.22274135324863234</v>
      </c>
      <c r="R163">
        <f t="shared" ca="1" si="28"/>
        <v>0.41340506824624806</v>
      </c>
      <c r="S163" cm="1">
        <f t="array" aca="1" ref="S163" ca="1">SUMPRODUCT(O162:R162*(B163:E163-B162:E162)/B162:E162)</f>
        <v>-2.2891336251869357E-2</v>
      </c>
      <c r="T163">
        <f t="shared" ca="1" si="29"/>
        <v>1656.4669914805722</v>
      </c>
    </row>
    <row r="164" spans="1:20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20"/>
        <v>285776</v>
      </c>
      <c r="K164">
        <f t="shared" ca="1" si="21"/>
        <v>2390052</v>
      </c>
      <c r="L164">
        <f t="shared" ca="1" si="22"/>
        <v>1623500</v>
      </c>
      <c r="M164">
        <f t="shared" ca="1" si="23"/>
        <v>2997750</v>
      </c>
      <c r="N164">
        <f t="shared" ca="1" si="24"/>
        <v>7297078</v>
      </c>
      <c r="O164">
        <f t="shared" ca="1" si="25"/>
        <v>3.9163073219170744E-2</v>
      </c>
      <c r="P164">
        <f t="shared" ca="1" si="26"/>
        <v>0.32753548749239081</v>
      </c>
      <c r="Q164">
        <f t="shared" ca="1" si="27"/>
        <v>0.22248631575542976</v>
      </c>
      <c r="R164">
        <f t="shared" ca="1" si="28"/>
        <v>0.4108151235330087</v>
      </c>
      <c r="S164" cm="1">
        <f t="array" aca="1" ref="S164" ca="1">SUMPRODUCT(O163:R163*(B164:E164-B163:E163)/B163:E163)</f>
        <v>1.9177244449521489E-3</v>
      </c>
      <c r="T164">
        <f t="shared" ca="1" si="29"/>
        <v>1659.643638722391</v>
      </c>
    </row>
    <row r="165" spans="1:20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20"/>
        <v>288304</v>
      </c>
      <c r="K165">
        <f t="shared" ca="1" si="21"/>
        <v>2395380</v>
      </c>
      <c r="L165">
        <f t="shared" ca="1" si="22"/>
        <v>1637625</v>
      </c>
      <c r="M165">
        <f t="shared" ca="1" si="23"/>
        <v>3047730</v>
      </c>
      <c r="N165">
        <f t="shared" ca="1" si="24"/>
        <v>7369039</v>
      </c>
      <c r="O165">
        <f t="shared" ca="1" si="25"/>
        <v>3.9123690348225867E-2</v>
      </c>
      <c r="P165">
        <f t="shared" ca="1" si="26"/>
        <v>0.32506002478749263</v>
      </c>
      <c r="Q165">
        <f t="shared" ca="1" si="27"/>
        <v>0.2222304699432314</v>
      </c>
      <c r="R165">
        <f t="shared" ca="1" si="28"/>
        <v>0.41358581492105007</v>
      </c>
      <c r="S165" cm="1">
        <f t="array" aca="1" ref="S165" ca="1">SUMPRODUCT(O164:R164*(B165:E165-B164:E164)/B164:E164)</f>
        <v>9.8616185821228178E-3</v>
      </c>
      <c r="T165">
        <f t="shared" ca="1" si="29"/>
        <v>1676.0104112697175</v>
      </c>
    </row>
    <row r="166" spans="1:20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20"/>
        <v>294592</v>
      </c>
      <c r="K166">
        <f t="shared" ca="1" si="21"/>
        <v>2430234</v>
      </c>
      <c r="L166">
        <f t="shared" ca="1" si="22"/>
        <v>1682125</v>
      </c>
      <c r="M166">
        <f t="shared" ca="1" si="23"/>
        <v>3128895</v>
      </c>
      <c r="N166">
        <f t="shared" ca="1" si="24"/>
        <v>7535846</v>
      </c>
      <c r="O166">
        <f t="shared" ca="1" si="25"/>
        <v>3.9092093973257948E-2</v>
      </c>
      <c r="P166">
        <f t="shared" ca="1" si="26"/>
        <v>0.32248987041401855</v>
      </c>
      <c r="Q166">
        <f t="shared" ca="1" si="27"/>
        <v>0.2232164776191021</v>
      </c>
      <c r="R166">
        <f t="shared" ca="1" si="28"/>
        <v>0.41520155799362141</v>
      </c>
      <c r="S166" cm="1">
        <f t="array" aca="1" ref="S166" ca="1">SUMPRODUCT(O165:R165*(B166:E166-B165:E165)/B165:E165)</f>
        <v>2.2636194488860825E-2</v>
      </c>
      <c r="T166">
        <f t="shared" ca="1" si="29"/>
        <v>1713.9489089045744</v>
      </c>
    </row>
    <row r="167" spans="1:20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20"/>
        <v>300240</v>
      </c>
      <c r="K167">
        <f t="shared" ca="1" si="21"/>
        <v>2433046</v>
      </c>
      <c r="L167">
        <f t="shared" ca="1" si="22"/>
        <v>1698500</v>
      </c>
      <c r="M167">
        <f t="shared" ca="1" si="23"/>
        <v>3098550.0000000005</v>
      </c>
      <c r="N167">
        <f t="shared" ca="1" si="24"/>
        <v>7530336</v>
      </c>
      <c r="O167">
        <f t="shared" ca="1" si="25"/>
        <v>3.9870730867785982E-2</v>
      </c>
      <c r="P167">
        <f t="shared" ca="1" si="26"/>
        <v>0.32309926144065815</v>
      </c>
      <c r="Q167">
        <f t="shared" ca="1" si="27"/>
        <v>0.22555434445421824</v>
      </c>
      <c r="R167">
        <f t="shared" ca="1" si="28"/>
        <v>0.4114756632373377</v>
      </c>
      <c r="S167" cm="1">
        <f t="array" aca="1" ref="S167" ca="1">SUMPRODUCT(O166:R166*(B167:E167-B166:E166)/B166:E166)</f>
        <v>-7.3117205420597173E-4</v>
      </c>
      <c r="T167">
        <f t="shared" ca="1" si="29"/>
        <v>1712.6957173600467</v>
      </c>
    </row>
    <row r="168" spans="1:20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20"/>
        <v>300592</v>
      </c>
      <c r="K168">
        <f t="shared" ca="1" si="21"/>
        <v>2425424</v>
      </c>
      <c r="L168">
        <f t="shared" ca="1" si="22"/>
        <v>1702124.9999999998</v>
      </c>
      <c r="M168">
        <f t="shared" ca="1" si="23"/>
        <v>3106845</v>
      </c>
      <c r="N168">
        <f t="shared" ca="1" si="24"/>
        <v>7534986</v>
      </c>
      <c r="O168">
        <f t="shared" ca="1" si="25"/>
        <v>3.9892841207667805E-2</v>
      </c>
      <c r="P168">
        <f t="shared" ca="1" si="26"/>
        <v>0.32188832202209799</v>
      </c>
      <c r="Q168">
        <f t="shared" ca="1" si="27"/>
        <v>0.22589623922327126</v>
      </c>
      <c r="R168">
        <f t="shared" ca="1" si="28"/>
        <v>0.41232259754696293</v>
      </c>
      <c r="S168" cm="1">
        <f t="array" aca="1" ref="S168" ca="1">SUMPRODUCT(O167:R167*(B168:E168-B167:E167)/B167:E167)</f>
        <v>6.1750232658931822E-4</v>
      </c>
      <c r="T168">
        <f t="shared" ca="1" si="29"/>
        <v>1713.753310950256</v>
      </c>
    </row>
    <row r="169" spans="1:20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20"/>
        <v>303136</v>
      </c>
      <c r="K169">
        <f t="shared" ca="1" si="21"/>
        <v>2432084</v>
      </c>
      <c r="L169">
        <f t="shared" ca="1" si="22"/>
        <v>1695750</v>
      </c>
      <c r="M169">
        <f t="shared" ca="1" si="23"/>
        <v>3111990</v>
      </c>
      <c r="N169">
        <f t="shared" ca="1" si="24"/>
        <v>7542960</v>
      </c>
      <c r="O169">
        <f t="shared" ca="1" si="25"/>
        <v>4.0187936831164423E-2</v>
      </c>
      <c r="P169">
        <f t="shared" ca="1" si="26"/>
        <v>0.32243098200176057</v>
      </c>
      <c r="Q169">
        <f t="shared" ca="1" si="27"/>
        <v>0.22481227528715517</v>
      </c>
      <c r="R169">
        <f t="shared" ca="1" si="28"/>
        <v>0.41256880587991984</v>
      </c>
      <c r="S169" cm="1">
        <f t="array" aca="1" ref="S169" ca="1">SUMPRODUCT(O168:R168*(B169:E169-B168:E168)/B168:E168)</f>
        <v>1.0582634128318844E-3</v>
      </c>
      <c r="T169">
        <f t="shared" ca="1" si="29"/>
        <v>1715.5669133778545</v>
      </c>
    </row>
    <row r="170" spans="1:20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20"/>
        <v>303520</v>
      </c>
      <c r="K170">
        <f t="shared" ca="1" si="21"/>
        <v>2468270</v>
      </c>
      <c r="L170">
        <f t="shared" ca="1" si="22"/>
        <v>1697125.0000000002</v>
      </c>
      <c r="M170">
        <f t="shared" ca="1" si="23"/>
        <v>3151574.9999999995</v>
      </c>
      <c r="N170">
        <f t="shared" ca="1" si="24"/>
        <v>7620490</v>
      </c>
      <c r="O170">
        <f t="shared" ca="1" si="25"/>
        <v>3.9829459785394379E-2</v>
      </c>
      <c r="P170">
        <f t="shared" ca="1" si="26"/>
        <v>0.32389911934796844</v>
      </c>
      <c r="Q170">
        <f t="shared" ca="1" si="27"/>
        <v>0.22270549531591805</v>
      </c>
      <c r="R170">
        <f t="shared" ca="1" si="28"/>
        <v>0.41356592555071914</v>
      </c>
      <c r="S170" cm="1">
        <f t="array" aca="1" ref="S170" ca="1">SUMPRODUCT(O169:R169*(B170:E170-B169:E169)/B169:E169)</f>
        <v>1.0278458324053137E-2</v>
      </c>
      <c r="T170">
        <f t="shared" ca="1" si="29"/>
        <v>1733.2002963991333</v>
      </c>
    </row>
    <row r="171" spans="1:20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20"/>
        <v>292656</v>
      </c>
      <c r="K171">
        <f t="shared" ca="1" si="21"/>
        <v>2463312</v>
      </c>
      <c r="L171">
        <f t="shared" ca="1" si="22"/>
        <v>1680750</v>
      </c>
      <c r="M171">
        <f t="shared" ca="1" si="23"/>
        <v>3141285</v>
      </c>
      <c r="N171">
        <f t="shared" ca="1" si="24"/>
        <v>7578003</v>
      </c>
      <c r="O171">
        <f t="shared" ca="1" si="25"/>
        <v>3.8619145439768236E-2</v>
      </c>
      <c r="P171">
        <f t="shared" ca="1" si="26"/>
        <v>0.32506083726807711</v>
      </c>
      <c r="Q171">
        <f t="shared" ca="1" si="27"/>
        <v>0.22179326136450461</v>
      </c>
      <c r="R171">
        <f t="shared" ca="1" si="28"/>
        <v>0.41452675592765009</v>
      </c>
      <c r="S171" cm="1">
        <f t="array" aca="1" ref="S171" ca="1">SUMPRODUCT(O170:R170*(B171:E171-B170:E170)/B170:E170)</f>
        <v>-5.5753632640420416E-3</v>
      </c>
      <c r="T171">
        <f t="shared" ca="1" si="29"/>
        <v>1723.5370751373628</v>
      </c>
    </row>
    <row r="172" spans="1:20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20"/>
        <v>284096</v>
      </c>
      <c r="K172">
        <f t="shared" ca="1" si="21"/>
        <v>2441334</v>
      </c>
      <c r="L172">
        <f t="shared" ca="1" si="22"/>
        <v>1690750</v>
      </c>
      <c r="M172">
        <f t="shared" ca="1" si="23"/>
        <v>3136035</v>
      </c>
      <c r="N172">
        <f t="shared" ca="1" si="24"/>
        <v>7552215</v>
      </c>
      <c r="O172">
        <f t="shared" ca="1" si="25"/>
        <v>3.7617573122587213E-2</v>
      </c>
      <c r="P172">
        <f t="shared" ca="1" si="26"/>
        <v>0.32326065929002284</v>
      </c>
      <c r="Q172">
        <f t="shared" ca="1" si="27"/>
        <v>0.22387471754975197</v>
      </c>
      <c r="R172">
        <f t="shared" ca="1" si="28"/>
        <v>0.41524705003763795</v>
      </c>
      <c r="S172" cm="1">
        <f t="array" aca="1" ref="S172" ca="1">SUMPRODUCT(O171:R171*(B172:E172-B171:E171)/B171:E171)</f>
        <v>-3.4030073622298624E-3</v>
      </c>
      <c r="T172">
        <f t="shared" ca="1" si="29"/>
        <v>1717.6718657815941</v>
      </c>
    </row>
    <row r="173" spans="1:20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20"/>
        <v>285088</v>
      </c>
      <c r="K173">
        <f t="shared" ca="1" si="21"/>
        <v>2473598</v>
      </c>
      <c r="L173">
        <f t="shared" ca="1" si="22"/>
        <v>1704750</v>
      </c>
      <c r="M173">
        <f t="shared" ca="1" si="23"/>
        <v>3127845</v>
      </c>
      <c r="N173">
        <f t="shared" ca="1" si="24"/>
        <v>7591281</v>
      </c>
      <c r="O173">
        <f t="shared" ca="1" si="25"/>
        <v>3.7554663040401219E-2</v>
      </c>
      <c r="P173">
        <f t="shared" ca="1" si="26"/>
        <v>0.32584724501701362</v>
      </c>
      <c r="Q173">
        <f t="shared" ca="1" si="27"/>
        <v>0.22456684188083673</v>
      </c>
      <c r="R173">
        <f t="shared" ca="1" si="28"/>
        <v>0.41203125006174846</v>
      </c>
      <c r="S173" cm="1">
        <f t="array" aca="1" ref="S173" ca="1">SUMPRODUCT(O172:R172*(B173:E173-B172:E172)/B172:E172)</f>
        <v>5.1727870565124847E-3</v>
      </c>
      <c r="T173">
        <f t="shared" ca="1" si="29"/>
        <v>1726.5570165762449</v>
      </c>
    </row>
    <row r="174" spans="1:20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20"/>
        <v>286976</v>
      </c>
      <c r="K174">
        <f t="shared" ca="1" si="21"/>
        <v>2500756</v>
      </c>
      <c r="L174">
        <f t="shared" ca="1" si="22"/>
        <v>1711499.9999999998</v>
      </c>
      <c r="M174">
        <f t="shared" ca="1" si="23"/>
        <v>3229380</v>
      </c>
      <c r="N174">
        <f t="shared" ca="1" si="24"/>
        <v>7728612</v>
      </c>
      <c r="O174">
        <f t="shared" ca="1" si="25"/>
        <v>3.713163502062207E-2</v>
      </c>
      <c r="P174">
        <f t="shared" ca="1" si="26"/>
        <v>0.32357116646559564</v>
      </c>
      <c r="Q174">
        <f t="shared" ca="1" si="27"/>
        <v>0.2214498541264589</v>
      </c>
      <c r="R174">
        <f t="shared" ca="1" si="28"/>
        <v>0.41784734438732335</v>
      </c>
      <c r="S174" cm="1">
        <f t="array" aca="1" ref="S174" ca="1">SUMPRODUCT(O173:R173*(B174:E174-B173:E173)/B173:E173)</f>
        <v>1.8090622649853193E-2</v>
      </c>
      <c r="T174">
        <f t="shared" ca="1" si="29"/>
        <v>1757.7915080465821</v>
      </c>
    </row>
    <row r="175" spans="1:20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20"/>
        <v>282080</v>
      </c>
      <c r="K175">
        <f t="shared" ca="1" si="21"/>
        <v>2455098</v>
      </c>
      <c r="L175">
        <f t="shared" ca="1" si="22"/>
        <v>1691750</v>
      </c>
      <c r="M175">
        <f t="shared" ca="1" si="23"/>
        <v>3167430.0000000005</v>
      </c>
      <c r="N175">
        <f t="shared" ca="1" si="24"/>
        <v>7596358</v>
      </c>
      <c r="O175">
        <f t="shared" ca="1" si="25"/>
        <v>3.7133584278150132E-2</v>
      </c>
      <c r="P175">
        <f t="shared" ca="1" si="26"/>
        <v>0.32319408853558507</v>
      </c>
      <c r="Q175">
        <f t="shared" ca="1" si="27"/>
        <v>0.22270540698582136</v>
      </c>
      <c r="R175">
        <f t="shared" ca="1" si="28"/>
        <v>0.41696692020044346</v>
      </c>
      <c r="S175" cm="1">
        <f t="array" aca="1" ref="S175" ca="1">SUMPRODUCT(O174:R174*(B175:E175-B174:E174)/B174:E174)</f>
        <v>-1.7112257673175944E-2</v>
      </c>
      <c r="T175">
        <f t="shared" ca="1" si="29"/>
        <v>1727.7117268251684</v>
      </c>
    </row>
    <row r="176" spans="1:20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20"/>
        <v>278736</v>
      </c>
      <c r="K176">
        <f t="shared" ca="1" si="21"/>
        <v>2486844</v>
      </c>
      <c r="L176">
        <f t="shared" ca="1" si="22"/>
        <v>1708875</v>
      </c>
      <c r="M176">
        <f t="shared" ca="1" si="23"/>
        <v>3203130</v>
      </c>
      <c r="N176">
        <f t="shared" ca="1" si="24"/>
        <v>7677585</v>
      </c>
      <c r="O176">
        <f t="shared" ca="1" si="25"/>
        <v>3.6305166272988187E-2</v>
      </c>
      <c r="P176">
        <f t="shared" ca="1" si="26"/>
        <v>0.32390966690697659</v>
      </c>
      <c r="Q176">
        <f t="shared" ca="1" si="27"/>
        <v>0.22257975652500103</v>
      </c>
      <c r="R176">
        <f t="shared" ca="1" si="28"/>
        <v>0.41720541029503416</v>
      </c>
      <c r="S176" cm="1">
        <f t="array" aca="1" ref="S176" ca="1">SUMPRODUCT(O175:R175*(B176:E176-B175:E175)/B175:E175)</f>
        <v>1.069288730204658E-2</v>
      </c>
      <c r="T176">
        <f t="shared" ca="1" si="29"/>
        <v>1746.1859536105344</v>
      </c>
    </row>
    <row r="177" spans="1:20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20"/>
        <v>281184</v>
      </c>
      <c r="K177">
        <f t="shared" ca="1" si="21"/>
        <v>2506380</v>
      </c>
      <c r="L177">
        <f t="shared" ca="1" si="22"/>
        <v>1726250</v>
      </c>
      <c r="M177">
        <f t="shared" ca="1" si="23"/>
        <v>3273060.0000000005</v>
      </c>
      <c r="N177">
        <f t="shared" ca="1" si="24"/>
        <v>7786874</v>
      </c>
      <c r="O177">
        <f t="shared" ca="1" si="25"/>
        <v>3.6109997413596266E-2</v>
      </c>
      <c r="P177">
        <f t="shared" ca="1" si="26"/>
        <v>0.32187242274627792</v>
      </c>
      <c r="Q177">
        <f t="shared" ca="1" si="27"/>
        <v>0.22168716226819646</v>
      </c>
      <c r="R177">
        <f t="shared" ca="1" si="28"/>
        <v>0.42033041757192946</v>
      </c>
      <c r="S177" cm="1">
        <f t="array" aca="1" ref="S177" ca="1">SUMPRODUCT(O176:R176*(B177:E177-B176:E176)/B176:E176)</f>
        <v>1.4234814723640309E-2</v>
      </c>
      <c r="T177">
        <f t="shared" ca="1" si="29"/>
        <v>1771.0425871332036</v>
      </c>
    </row>
    <row r="178" spans="1:20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20"/>
        <v>280016</v>
      </c>
      <c r="K178">
        <f t="shared" ca="1" si="21"/>
        <v>2443628</v>
      </c>
      <c r="L178">
        <f t="shared" ca="1" si="22"/>
        <v>1717500</v>
      </c>
      <c r="M178">
        <f t="shared" ca="1" si="23"/>
        <v>3153255</v>
      </c>
      <c r="N178">
        <f t="shared" ca="1" si="24"/>
        <v>7594399</v>
      </c>
      <c r="O178">
        <f t="shared" ca="1" si="25"/>
        <v>3.6871383765851647E-2</v>
      </c>
      <c r="P178">
        <f t="shared" ca="1" si="26"/>
        <v>0.32176713391013562</v>
      </c>
      <c r="Q178">
        <f t="shared" ca="1" si="27"/>
        <v>0.22615351129167693</v>
      </c>
      <c r="R178">
        <f t="shared" ca="1" si="28"/>
        <v>0.41520797103233581</v>
      </c>
      <c r="S178" cm="1">
        <f t="array" aca="1" ref="S178" ca="1">SUMPRODUCT(O177:R177*(B178:E178-B177:E177)/B177:E177)</f>
        <v>-2.4717877803082454E-2</v>
      </c>
      <c r="T178">
        <f t="shared" ca="1" si="29"/>
        <v>1727.2661728803901</v>
      </c>
    </row>
    <row r="179" spans="1:20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20"/>
        <v>284752</v>
      </c>
      <c r="K179">
        <f t="shared" ca="1" si="21"/>
        <v>2435044</v>
      </c>
      <c r="L179">
        <f t="shared" ca="1" si="22"/>
        <v>1727625</v>
      </c>
      <c r="M179">
        <f t="shared" ca="1" si="23"/>
        <v>3176775</v>
      </c>
      <c r="N179">
        <f t="shared" ca="1" si="24"/>
        <v>7624196</v>
      </c>
      <c r="O179">
        <f t="shared" ca="1" si="25"/>
        <v>3.7348462710035259E-2</v>
      </c>
      <c r="P179">
        <f t="shared" ca="1" si="26"/>
        <v>0.31938370944293665</v>
      </c>
      <c r="Q179">
        <f t="shared" ca="1" si="27"/>
        <v>0.22659766354380187</v>
      </c>
      <c r="R179">
        <f t="shared" ca="1" si="28"/>
        <v>0.41667016430322618</v>
      </c>
      <c r="S179" cm="1">
        <f t="array" aca="1" ref="S179" ca="1">SUMPRODUCT(O178:R178*(B179:E179-B178:E178)/B178:E178)</f>
        <v>3.923549447428289E-3</v>
      </c>
      <c r="T179">
        <f t="shared" ca="1" si="29"/>
        <v>1734.0431871185565</v>
      </c>
    </row>
    <row r="180" spans="1:20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20"/>
        <v>286512</v>
      </c>
      <c r="K180">
        <f t="shared" ca="1" si="21"/>
        <v>2432010</v>
      </c>
      <c r="L180">
        <f t="shared" ca="1" si="22"/>
        <v>1725500</v>
      </c>
      <c r="M180">
        <f t="shared" ca="1" si="23"/>
        <v>3203235</v>
      </c>
      <c r="N180">
        <f t="shared" ca="1" si="24"/>
        <v>7647257</v>
      </c>
      <c r="O180">
        <f t="shared" ca="1" si="25"/>
        <v>3.7465982900796981E-2</v>
      </c>
      <c r="P180">
        <f t="shared" ca="1" si="26"/>
        <v>0.31802383521307054</v>
      </c>
      <c r="Q180">
        <f t="shared" ca="1" si="27"/>
        <v>0.2256364602366574</v>
      </c>
      <c r="R180">
        <f t="shared" ca="1" si="28"/>
        <v>0.41887372164947512</v>
      </c>
      <c r="S180" cm="1">
        <f t="array" aca="1" ref="S180" ca="1">SUMPRODUCT(O179:R179*(B180:E180-B179:E179)/B179:E179)</f>
        <v>3.0247123762294956E-3</v>
      </c>
      <c r="T180">
        <f t="shared" ca="1" si="29"/>
        <v>1739.2881690075503</v>
      </c>
    </row>
    <row r="181" spans="1:20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20"/>
        <v>280784</v>
      </c>
      <c r="K181">
        <f t="shared" ca="1" si="21"/>
        <v>2373698</v>
      </c>
      <c r="L181">
        <f t="shared" ca="1" si="22"/>
        <v>1671750</v>
      </c>
      <c r="M181">
        <f t="shared" ca="1" si="23"/>
        <v>3146535</v>
      </c>
      <c r="N181">
        <f t="shared" ca="1" si="24"/>
        <v>7472767</v>
      </c>
      <c r="O181">
        <f t="shared" ca="1" si="25"/>
        <v>3.7574301460222163E-2</v>
      </c>
      <c r="P181">
        <f t="shared" ca="1" si="26"/>
        <v>0.31764646214715381</v>
      </c>
      <c r="Q181">
        <f t="shared" ca="1" si="27"/>
        <v>0.22371231432747735</v>
      </c>
      <c r="R181">
        <f t="shared" ca="1" si="28"/>
        <v>0.42106692206514668</v>
      </c>
      <c r="S181" cm="1">
        <f t="array" aca="1" ref="S181" ca="1">SUMPRODUCT(O180:R180*(B181:E181-B180:E180)/B180:E180)</f>
        <v>-2.2817331756994633E-2</v>
      </c>
      <c r="T181">
        <f t="shared" ca="1" si="29"/>
        <v>1699.6022538342893</v>
      </c>
    </row>
    <row r="182" spans="1:20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20"/>
        <v>278288</v>
      </c>
      <c r="K182">
        <f t="shared" ca="1" si="21"/>
        <v>2364522</v>
      </c>
      <c r="L182">
        <f t="shared" ca="1" si="22"/>
        <v>1630500</v>
      </c>
      <c r="M182">
        <f t="shared" ca="1" si="23"/>
        <v>3105165</v>
      </c>
      <c r="N182">
        <f t="shared" ca="1" si="24"/>
        <v>7378475</v>
      </c>
      <c r="O182">
        <f t="shared" ca="1" si="25"/>
        <v>3.7716194742138449E-2</v>
      </c>
      <c r="P182">
        <f t="shared" ca="1" si="26"/>
        <v>0.32046215512012982</v>
      </c>
      <c r="Q182">
        <f t="shared" ca="1" si="27"/>
        <v>0.22098062268964794</v>
      </c>
      <c r="R182">
        <f t="shared" ca="1" si="28"/>
        <v>0.42084102744808377</v>
      </c>
      <c r="S182" cm="1">
        <f t="array" aca="1" ref="S182" ca="1">SUMPRODUCT(O181:R181*(B182:E182-B181:E181)/B181:E181)</f>
        <v>-1.2618083770041295E-2</v>
      </c>
      <c r="T182">
        <f t="shared" ca="1" si="29"/>
        <v>1678.1565302196573</v>
      </c>
    </row>
    <row r="183" spans="1:20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20"/>
        <v>279664</v>
      </c>
      <c r="K183">
        <f t="shared" ca="1" si="21"/>
        <v>2345874</v>
      </c>
      <c r="L183">
        <f t="shared" ca="1" si="22"/>
        <v>1628125</v>
      </c>
      <c r="M183">
        <f t="shared" ca="1" si="23"/>
        <v>3140340</v>
      </c>
      <c r="N183">
        <f t="shared" ca="1" si="24"/>
        <v>7394003</v>
      </c>
      <c r="O183">
        <f t="shared" ca="1" si="25"/>
        <v>3.7823084464531594E-2</v>
      </c>
      <c r="P183">
        <f t="shared" ca="1" si="26"/>
        <v>0.3172671149849412</v>
      </c>
      <c r="Q183">
        <f t="shared" ca="1" si="27"/>
        <v>0.22019533938517472</v>
      </c>
      <c r="R183">
        <f t="shared" ca="1" si="28"/>
        <v>0.4247144611653525</v>
      </c>
      <c r="S183" cm="1">
        <f t="array" aca="1" ref="S183" ca="1">SUMPRODUCT(O182:R182*(B183:E183-B182:E182)/B182:E182)</f>
        <v>2.1044999136000022E-3</v>
      </c>
      <c r="T183">
        <f t="shared" ca="1" si="29"/>
        <v>1681.6882104925116</v>
      </c>
    </row>
    <row r="184" spans="1:20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20"/>
        <v>281728</v>
      </c>
      <c r="K184">
        <f t="shared" ca="1" si="21"/>
        <v>2349796</v>
      </c>
      <c r="L184">
        <f t="shared" ca="1" si="22"/>
        <v>1638875.0000000002</v>
      </c>
      <c r="M184">
        <f t="shared" ca="1" si="23"/>
        <v>3158715</v>
      </c>
      <c r="N184">
        <f t="shared" ca="1" si="24"/>
        <v>7429114</v>
      </c>
      <c r="O184">
        <f t="shared" ca="1" si="25"/>
        <v>3.7922153301187735E-2</v>
      </c>
      <c r="P184">
        <f t="shared" ca="1" si="26"/>
        <v>0.31629559056436607</v>
      </c>
      <c r="Q184">
        <f t="shared" ca="1" si="27"/>
        <v>0.22060167605450667</v>
      </c>
      <c r="R184">
        <f t="shared" ca="1" si="28"/>
        <v>0.42518058007993953</v>
      </c>
      <c r="S184" cm="1">
        <f t="array" aca="1" ref="S184" ca="1">SUMPRODUCT(O183:R183*(B184:E184-B183:E183)/B183:E183)</f>
        <v>4.7485780030114173E-3</v>
      </c>
      <c r="T184">
        <f t="shared" ca="1" si="29"/>
        <v>1689.67383813678</v>
      </c>
    </row>
    <row r="185" spans="1:20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20"/>
        <v>275136</v>
      </c>
      <c r="K185">
        <f t="shared" ca="1" si="21"/>
        <v>2309836</v>
      </c>
      <c r="L185">
        <f t="shared" ca="1" si="22"/>
        <v>1607062.5</v>
      </c>
      <c r="M185">
        <f t="shared" ca="1" si="23"/>
        <v>3139080</v>
      </c>
      <c r="N185">
        <f t="shared" ca="1" si="24"/>
        <v>7331114.5</v>
      </c>
      <c r="O185">
        <f t="shared" ca="1" si="25"/>
        <v>3.7529900808396868E-2</v>
      </c>
      <c r="P185">
        <f t="shared" ca="1" si="26"/>
        <v>0.31507296741852825</v>
      </c>
      <c r="Q185">
        <f t="shared" ca="1" si="27"/>
        <v>0.21921121270169769</v>
      </c>
      <c r="R185">
        <f t="shared" ca="1" si="28"/>
        <v>0.42818591907137721</v>
      </c>
      <c r="S185" cm="1">
        <f t="array" aca="1" ref="S185" ca="1">SUMPRODUCT(O184:R184*(B185:E185-B184:E184)/B184:E184)</f>
        <v>-1.3191276914043924E-2</v>
      </c>
      <c r="T185">
        <f t="shared" ca="1" si="29"/>
        <v>1667.3848826435024</v>
      </c>
    </row>
    <row r="186" spans="1:20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20"/>
        <v>272688</v>
      </c>
      <c r="K186">
        <f t="shared" ca="1" si="21"/>
        <v>2314646</v>
      </c>
      <c r="L186">
        <f t="shared" ca="1" si="22"/>
        <v>1631750</v>
      </c>
      <c r="M186">
        <f t="shared" ca="1" si="23"/>
        <v>3126270</v>
      </c>
      <c r="N186">
        <f t="shared" ca="1" si="24"/>
        <v>7345354</v>
      </c>
      <c r="O186">
        <f t="shared" ca="1" si="25"/>
        <v>3.7123874492638473E-2</v>
      </c>
      <c r="P186">
        <f t="shared" ca="1" si="26"/>
        <v>0.31511701137889336</v>
      </c>
      <c r="Q186">
        <f t="shared" ca="1" si="27"/>
        <v>0.22214722394591194</v>
      </c>
      <c r="R186">
        <f t="shared" ca="1" si="28"/>
        <v>0.42561189018255619</v>
      </c>
      <c r="S186" cm="1">
        <f t="array" aca="1" ref="S186" ca="1">SUMPRODUCT(O185:R185*(B186:E186-B185:E185)/B185:E185)</f>
        <v>1.9423376895832812E-3</v>
      </c>
      <c r="T186">
        <f t="shared" ca="1" si="29"/>
        <v>1670.6235071441022</v>
      </c>
    </row>
    <row r="187" spans="1:20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20"/>
        <v>273104</v>
      </c>
      <c r="K187">
        <f t="shared" ca="1" si="21"/>
        <v>2320936</v>
      </c>
      <c r="L187">
        <f t="shared" ca="1" si="22"/>
        <v>1653875</v>
      </c>
      <c r="M187">
        <f t="shared" ca="1" si="23"/>
        <v>3191580</v>
      </c>
      <c r="N187">
        <f t="shared" ca="1" si="24"/>
        <v>7439495</v>
      </c>
      <c r="O187">
        <f t="shared" ca="1" si="25"/>
        <v>3.6710018623575931E-2</v>
      </c>
      <c r="P187">
        <f t="shared" ca="1" si="26"/>
        <v>0.31197493915917679</v>
      </c>
      <c r="Q187">
        <f t="shared" ca="1" si="27"/>
        <v>0.22231011647968041</v>
      </c>
      <c r="R187">
        <f t="shared" ca="1" si="28"/>
        <v>0.42900492573756688</v>
      </c>
      <c r="S187" cm="1">
        <f t="array" aca="1" ref="S187" ca="1">SUMPRODUCT(O186:R186*(B187:E187-B186:E186)/B186:E186)</f>
        <v>1.281640067993994E-2</v>
      </c>
      <c r="T187">
        <f t="shared" ca="1" si="29"/>
        <v>1692.0348873969874</v>
      </c>
    </row>
    <row r="188" spans="1:20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20"/>
        <v>273936</v>
      </c>
      <c r="K188">
        <f t="shared" ca="1" si="21"/>
        <v>2336550</v>
      </c>
      <c r="L188">
        <f t="shared" ca="1" si="22"/>
        <v>1635750.0000000002</v>
      </c>
      <c r="M188">
        <f t="shared" ca="1" si="23"/>
        <v>3152205</v>
      </c>
      <c r="N188">
        <f t="shared" ca="1" si="24"/>
        <v>7398441</v>
      </c>
      <c r="O188">
        <f t="shared" ca="1" si="25"/>
        <v>3.7026178893634486E-2</v>
      </c>
      <c r="P188">
        <f t="shared" ca="1" si="26"/>
        <v>0.31581653486187156</v>
      </c>
      <c r="Q188">
        <f t="shared" ca="1" si="27"/>
        <v>0.22109387639909547</v>
      </c>
      <c r="R188">
        <f t="shared" ca="1" si="28"/>
        <v>0.42606340984539853</v>
      </c>
      <c r="S188" cm="1">
        <f t="array" aca="1" ref="S188" ca="1">SUMPRODUCT(O187:R187*(B188:E188-B187:E187)/B187:E187)</f>
        <v>-5.5183853205089516E-3</v>
      </c>
      <c r="T188">
        <f t="shared" ca="1" si="29"/>
        <v>1682.6975869125868</v>
      </c>
    </row>
    <row r="189" spans="1:20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20"/>
        <v>278000</v>
      </c>
      <c r="K189">
        <f t="shared" ca="1" si="21"/>
        <v>2381320</v>
      </c>
      <c r="L189">
        <f t="shared" ca="1" si="22"/>
        <v>1677124.9999999998</v>
      </c>
      <c r="M189">
        <f t="shared" ca="1" si="23"/>
        <v>3221610</v>
      </c>
      <c r="N189">
        <f t="shared" ca="1" si="24"/>
        <v>7558055</v>
      </c>
      <c r="O189">
        <f t="shared" ca="1" si="25"/>
        <v>3.6781949853500667E-2</v>
      </c>
      <c r="P189">
        <f t="shared" ca="1" si="26"/>
        <v>0.31507047778826697</v>
      </c>
      <c r="Q189">
        <f t="shared" ca="1" si="27"/>
        <v>0.22189902031673489</v>
      </c>
      <c r="R189">
        <f t="shared" ca="1" si="28"/>
        <v>0.42624855204149747</v>
      </c>
      <c r="S189" cm="1">
        <f t="array" aca="1" ref="S189" ca="1">SUMPRODUCT(O188:R188*(B189:E189-B188:E188)/B188:E188)</f>
        <v>2.1574004577450831E-2</v>
      </c>
      <c r="T189">
        <f t="shared" ca="1" si="29"/>
        <v>1719.0001123551044</v>
      </c>
    </row>
    <row r="190" spans="1:20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20"/>
        <v>275840</v>
      </c>
      <c r="K190">
        <f t="shared" ca="1" si="21"/>
        <v>2319086</v>
      </c>
      <c r="L190">
        <f t="shared" ca="1" si="22"/>
        <v>1655375</v>
      </c>
      <c r="M190">
        <f t="shared" ca="1" si="23"/>
        <v>3159870</v>
      </c>
      <c r="N190">
        <f t="shared" ca="1" si="24"/>
        <v>7410171</v>
      </c>
      <c r="O190">
        <f t="shared" ca="1" si="25"/>
        <v>3.7224512092905816E-2</v>
      </c>
      <c r="P190">
        <f t="shared" ca="1" si="26"/>
        <v>0.31295984937459609</v>
      </c>
      <c r="Q190">
        <f t="shared" ca="1" si="27"/>
        <v>0.2233922806909584</v>
      </c>
      <c r="R190">
        <f t="shared" ca="1" si="28"/>
        <v>0.42642335784153967</v>
      </c>
      <c r="S190" cm="1">
        <f t="array" aca="1" ref="S190" ca="1">SUMPRODUCT(O189:R189*(B190:E190-B189:E189)/B189:E189)</f>
        <v>-1.9566409611996724E-2</v>
      </c>
      <c r="T190">
        <f t="shared" ca="1" si="29"/>
        <v>1685.3654520336961</v>
      </c>
    </row>
    <row r="191" spans="1:20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20"/>
        <v>277856</v>
      </c>
      <c r="K191">
        <f t="shared" ca="1" si="21"/>
        <v>2360267</v>
      </c>
      <c r="L191">
        <f t="shared" ca="1" si="22"/>
        <v>1703375.0000000002</v>
      </c>
      <c r="M191">
        <f t="shared" ca="1" si="23"/>
        <v>3208590</v>
      </c>
      <c r="N191">
        <f t="shared" ca="1" si="24"/>
        <v>7550088</v>
      </c>
      <c r="O191">
        <f t="shared" ca="1" si="25"/>
        <v>3.6801690258444666E-2</v>
      </c>
      <c r="P191">
        <f t="shared" ca="1" si="26"/>
        <v>0.31261450197666568</v>
      </c>
      <c r="Q191">
        <f t="shared" ca="1" si="27"/>
        <v>0.22560995315551291</v>
      </c>
      <c r="R191">
        <f t="shared" ca="1" si="28"/>
        <v>0.42497385460937676</v>
      </c>
      <c r="S191" cm="1">
        <f t="array" aca="1" ref="S191" ca="1">SUMPRODUCT(O190:R190*(B191:E191-B190:E190)/B190:E190)</f>
        <v>1.8881750502113898E-2</v>
      </c>
      <c r="T191">
        <f t="shared" ca="1" si="29"/>
        <v>1717.1881020038788</v>
      </c>
    </row>
    <row r="192" spans="1:20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20"/>
        <v>279856</v>
      </c>
      <c r="K192">
        <f t="shared" ca="1" si="21"/>
        <v>2363264</v>
      </c>
      <c r="L192">
        <f t="shared" ca="1" si="22"/>
        <v>1699875</v>
      </c>
      <c r="M192">
        <f t="shared" ca="1" si="23"/>
        <v>3200295</v>
      </c>
      <c r="N192">
        <f t="shared" ca="1" si="24"/>
        <v>7543290</v>
      </c>
      <c r="O192">
        <f t="shared" ca="1" si="25"/>
        <v>3.7099992178479153E-2</v>
      </c>
      <c r="P192">
        <f t="shared" ca="1" si="26"/>
        <v>0.31329353637471186</v>
      </c>
      <c r="Q192">
        <f t="shared" ca="1" si="27"/>
        <v>0.22534928393313794</v>
      </c>
      <c r="R192">
        <f t="shared" ca="1" si="28"/>
        <v>0.42425718751367109</v>
      </c>
      <c r="S192" cm="1">
        <f t="array" aca="1" ref="S192" ca="1">SUMPRODUCT(O191:R191*(B192:E192-B191:E191)/B191:E191)</f>
        <v>-9.0038685641801982E-4</v>
      </c>
      <c r="T192">
        <f t="shared" ca="1" si="29"/>
        <v>1715.6419684068371</v>
      </c>
    </row>
    <row r="193" spans="1:20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20"/>
        <v>283984</v>
      </c>
      <c r="K193">
        <f t="shared" ca="1" si="21"/>
        <v>2421724</v>
      </c>
      <c r="L193">
        <f t="shared" ca="1" si="22"/>
        <v>1734124.9999999998</v>
      </c>
      <c r="M193">
        <f t="shared" ca="1" si="23"/>
        <v>3312015</v>
      </c>
      <c r="N193">
        <f t="shared" ca="1" si="24"/>
        <v>7751848</v>
      </c>
      <c r="O193">
        <f t="shared" ca="1" si="25"/>
        <v>3.6634361251665408E-2</v>
      </c>
      <c r="P193">
        <f t="shared" ca="1" si="26"/>
        <v>0.31240602240910814</v>
      </c>
      <c r="Q193">
        <f t="shared" ca="1" si="27"/>
        <v>0.22370472176441022</v>
      </c>
      <c r="R193">
        <f t="shared" ca="1" si="28"/>
        <v>0.42725489457481625</v>
      </c>
      <c r="S193" cm="1">
        <f t="array" aca="1" ref="S193" ca="1">SUMPRODUCT(O192:R192*(B193:E193-B192:E192)/B192:E192)</f>
        <v>2.764814822179705E-2</v>
      </c>
      <c r="T193">
        <f t="shared" ca="1" si="29"/>
        <v>1763.0762918448847</v>
      </c>
    </row>
    <row r="194" spans="1:20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20"/>
        <v>286384</v>
      </c>
      <c r="K194">
        <f t="shared" ca="1" si="21"/>
        <v>2440668</v>
      </c>
      <c r="L194">
        <f t="shared" ca="1" si="22"/>
        <v>1743750</v>
      </c>
      <c r="M194">
        <f t="shared" ca="1" si="23"/>
        <v>3342780</v>
      </c>
      <c r="N194">
        <f t="shared" ca="1" si="24"/>
        <v>7813582</v>
      </c>
      <c r="O194">
        <f t="shared" ca="1" si="25"/>
        <v>3.6652075834105277E-2</v>
      </c>
      <c r="P194">
        <f t="shared" ca="1" si="26"/>
        <v>0.31236224307878258</v>
      </c>
      <c r="Q194">
        <f t="shared" ca="1" si="27"/>
        <v>0.22316909197343804</v>
      </c>
      <c r="R194">
        <f t="shared" ca="1" si="28"/>
        <v>0.4278165891136741</v>
      </c>
      <c r="S194" cm="1">
        <f t="array" aca="1" ref="S194" ca="1">SUMPRODUCT(O193:R193*(B194:E194-B193:E193)/B193:E193)</f>
        <v>7.9637784435402006E-3</v>
      </c>
      <c r="T194">
        <f t="shared" ca="1" si="29"/>
        <v>1777.1170408121959</v>
      </c>
    </row>
    <row r="195" spans="1:20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30">F195*B195</f>
        <v>285424</v>
      </c>
      <c r="K195">
        <f t="shared" ref="K195:K244" ca="1" si="31">G195*C195</f>
        <v>2430086</v>
      </c>
      <c r="L195">
        <f t="shared" ref="L195:L244" ca="1" si="32">H195*D195</f>
        <v>1739999.9999999998</v>
      </c>
      <c r="M195">
        <f t="shared" ref="M195:M244" ca="1" si="33">I195*E195</f>
        <v>3379319.9999999995</v>
      </c>
      <c r="N195">
        <f t="shared" ref="N195:N244" ca="1" si="34">SUM(J195:M195)</f>
        <v>7834830</v>
      </c>
      <c r="O195">
        <f t="shared" ref="O195:O244" ca="1" si="35">J195/N195</f>
        <v>3.6430145899783405E-2</v>
      </c>
      <c r="P195">
        <f t="shared" ref="P195:P244" ca="1" si="36">K195/N195</f>
        <v>0.31016448346677594</v>
      </c>
      <c r="Q195">
        <f t="shared" ref="Q195:Q244" ca="1" si="37">L195/N195</f>
        <v>0.22208522712043527</v>
      </c>
      <c r="R195">
        <f t="shared" ref="R195:R244" ca="1" si="38">M195/N195</f>
        <v>0.43132014351300535</v>
      </c>
      <c r="S195" cm="1">
        <f t="array" aca="1" ref="S195" ca="1">SUMPRODUCT(O194:R194*(B195:E195-B194:E194)/B194:E194)</f>
        <v>2.7193673784954666E-3</v>
      </c>
      <c r="T195">
        <f t="shared" ca="1" si="29"/>
        <v>1781.9496749207492</v>
      </c>
    </row>
    <row r="196" spans="1:20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30"/>
        <v>287680</v>
      </c>
      <c r="K196">
        <f t="shared" ca="1" si="31"/>
        <v>2459908</v>
      </c>
      <c r="L196">
        <f t="shared" ca="1" si="32"/>
        <v>1771249.9999999998</v>
      </c>
      <c r="M196">
        <f t="shared" ca="1" si="33"/>
        <v>3442110</v>
      </c>
      <c r="N196">
        <f t="shared" ca="1" si="34"/>
        <v>7960948</v>
      </c>
      <c r="O196">
        <f t="shared" ca="1" si="35"/>
        <v>3.6136399835798451E-2</v>
      </c>
      <c r="P196">
        <f t="shared" ca="1" si="36"/>
        <v>0.30899686821217776</v>
      </c>
      <c r="Q196">
        <f t="shared" ca="1" si="37"/>
        <v>0.22249234638889737</v>
      </c>
      <c r="R196">
        <f t="shared" ca="1" si="38"/>
        <v>0.43237438556312641</v>
      </c>
      <c r="S196" cm="1">
        <f t="array" aca="1" ref="S196" ca="1">SUMPRODUCT(O195:R195*(B196:E196-B195:E195)/B195:E195)</f>
        <v>1.6097094640215609E-2</v>
      </c>
      <c r="T196">
        <f t="shared" ref="T196:T244" ca="1" si="39">T195*(S196+1)</f>
        <v>1810.6338874820501</v>
      </c>
    </row>
    <row r="197" spans="1:20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30"/>
        <v>289136</v>
      </c>
      <c r="K197">
        <f t="shared" ca="1" si="31"/>
        <v>2450584</v>
      </c>
      <c r="L197">
        <f t="shared" ca="1" si="32"/>
        <v>1753625</v>
      </c>
      <c r="M197">
        <f t="shared" ca="1" si="33"/>
        <v>3403680.0000000005</v>
      </c>
      <c r="N197">
        <f t="shared" ca="1" si="34"/>
        <v>7897025</v>
      </c>
      <c r="O197">
        <f t="shared" ca="1" si="35"/>
        <v>3.6613281583887602E-2</v>
      </c>
      <c r="P197">
        <f t="shared" ca="1" si="36"/>
        <v>0.31031736634998625</v>
      </c>
      <c r="Q197">
        <f t="shared" ca="1" si="37"/>
        <v>0.22206147251654895</v>
      </c>
      <c r="R197">
        <f t="shared" ca="1" si="38"/>
        <v>0.43100787954957726</v>
      </c>
      <c r="S197" cm="1">
        <f t="array" aca="1" ref="S197" ca="1">SUMPRODUCT(O196:R196*(B197:E197-B196:E196)/B196:E196)</f>
        <v>-8.0295713525574547E-3</v>
      </c>
      <c r="T197">
        <f t="shared" ca="1" si="39"/>
        <v>1796.0952734891546</v>
      </c>
    </row>
    <row r="198" spans="1:20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30"/>
        <v>286160</v>
      </c>
      <c r="K198">
        <f t="shared" ca="1" si="31"/>
        <v>2425202</v>
      </c>
      <c r="L198">
        <f t="shared" ca="1" si="32"/>
        <v>1732250.0000000002</v>
      </c>
      <c r="M198">
        <f t="shared" ca="1" si="33"/>
        <v>3304245</v>
      </c>
      <c r="N198">
        <f t="shared" ca="1" si="34"/>
        <v>7747857</v>
      </c>
      <c r="O198">
        <f t="shared" ca="1" si="35"/>
        <v>3.6934083837634073E-2</v>
      </c>
      <c r="P198">
        <f t="shared" ca="1" si="36"/>
        <v>0.313015844252159</v>
      </c>
      <c r="Q198">
        <f t="shared" ca="1" si="37"/>
        <v>0.22357795194206606</v>
      </c>
      <c r="R198">
        <f t="shared" ca="1" si="38"/>
        <v>0.42647211996814088</v>
      </c>
      <c r="S198" cm="1">
        <f t="array" aca="1" ref="S198" ca="1">SUMPRODUCT(O197:R197*(B198:E198-B197:E197)/B197:E197)</f>
        <v>-1.8889138631320034E-2</v>
      </c>
      <c r="T198">
        <f t="shared" ca="1" si="39"/>
        <v>1762.1685808731593</v>
      </c>
    </row>
    <row r="199" spans="1:20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30"/>
        <v>285952</v>
      </c>
      <c r="K199">
        <f t="shared" ca="1" si="31"/>
        <v>2461536</v>
      </c>
      <c r="L199">
        <f t="shared" ca="1" si="32"/>
        <v>1756125</v>
      </c>
      <c r="M199">
        <f t="shared" ca="1" si="33"/>
        <v>3372074.9999999995</v>
      </c>
      <c r="N199">
        <f t="shared" ca="1" si="34"/>
        <v>7875688</v>
      </c>
      <c r="O199">
        <f t="shared" ca="1" si="35"/>
        <v>3.6308193011201056E-2</v>
      </c>
      <c r="P199">
        <f t="shared" ca="1" si="36"/>
        <v>0.31254869415852937</v>
      </c>
      <c r="Q199">
        <f t="shared" ca="1" si="37"/>
        <v>0.22298051928923543</v>
      </c>
      <c r="R199">
        <f t="shared" ca="1" si="38"/>
        <v>0.42816259354103409</v>
      </c>
      <c r="S199" cm="1">
        <f t="array" aca="1" ref="S199" ca="1">SUMPRODUCT(O198:R198*(B199:E199-B198:E198)/B198:E198)</f>
        <v>1.6498884788400135E-2</v>
      </c>
      <c r="T199">
        <f t="shared" ca="1" si="39"/>
        <v>1791.2423972667243</v>
      </c>
    </row>
    <row r="200" spans="1:20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30"/>
        <v>283440</v>
      </c>
      <c r="K200">
        <f t="shared" ca="1" si="31"/>
        <v>2457244</v>
      </c>
      <c r="L200">
        <f t="shared" ca="1" si="32"/>
        <v>1762375</v>
      </c>
      <c r="M200">
        <f t="shared" ca="1" si="33"/>
        <v>3402000</v>
      </c>
      <c r="N200">
        <f t="shared" ca="1" si="34"/>
        <v>7905059</v>
      </c>
      <c r="O200">
        <f t="shared" ca="1" si="35"/>
        <v>3.5855519863925114E-2</v>
      </c>
      <c r="P200">
        <f t="shared" ca="1" si="36"/>
        <v>0.31084448579068163</v>
      </c>
      <c r="Q200">
        <f t="shared" ca="1" si="37"/>
        <v>0.22294267506415827</v>
      </c>
      <c r="R200">
        <f t="shared" ca="1" si="38"/>
        <v>0.43035731928123494</v>
      </c>
      <c r="S200" cm="1">
        <f t="array" aca="1" ref="S200" ca="1">SUMPRODUCT(O199:R199*(B200:E200-B199:E199)/B199:E199)</f>
        <v>3.7293249808779075E-3</v>
      </c>
      <c r="T200">
        <f t="shared" ca="1" si="39"/>
        <v>1797.9225222856587</v>
      </c>
    </row>
    <row r="201" spans="1:20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30"/>
        <v>281344</v>
      </c>
      <c r="K201">
        <f t="shared" ca="1" si="31"/>
        <v>2442814</v>
      </c>
      <c r="L201">
        <f t="shared" ca="1" si="32"/>
        <v>1741000</v>
      </c>
      <c r="M201">
        <f t="shared" ca="1" si="33"/>
        <v>3328185.0000000005</v>
      </c>
      <c r="N201">
        <f t="shared" ca="1" si="34"/>
        <v>7793343</v>
      </c>
      <c r="O201">
        <f t="shared" ca="1" si="35"/>
        <v>3.6100554024120331E-2</v>
      </c>
      <c r="P201">
        <f t="shared" ca="1" si="36"/>
        <v>0.31344879854511731</v>
      </c>
      <c r="Q201">
        <f t="shared" ca="1" si="37"/>
        <v>0.22339578791797052</v>
      </c>
      <c r="R201">
        <f t="shared" ca="1" si="38"/>
        <v>0.42705485951279193</v>
      </c>
      <c r="S201" cm="1">
        <f t="array" aca="1" ref="S201" ca="1">SUMPRODUCT(O200:R200*(B201:E201-B200:E200)/B200:E200)</f>
        <v>-1.4132215837984224E-2</v>
      </c>
      <c r="T201">
        <f t="shared" ca="1" si="39"/>
        <v>1772.5138931407448</v>
      </c>
    </row>
    <row r="202" spans="1:20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30"/>
        <v>280736</v>
      </c>
      <c r="K202">
        <f t="shared" ca="1" si="31"/>
        <v>2451768</v>
      </c>
      <c r="L202">
        <f t="shared" ca="1" si="32"/>
        <v>1737249.9999999998</v>
      </c>
      <c r="M202">
        <f t="shared" ca="1" si="33"/>
        <v>3284505</v>
      </c>
      <c r="N202">
        <f t="shared" ca="1" si="34"/>
        <v>7754259</v>
      </c>
      <c r="O202">
        <f t="shared" ca="1" si="35"/>
        <v>3.6204104092989416E-2</v>
      </c>
      <c r="P202">
        <f t="shared" ca="1" si="36"/>
        <v>0.3161834032110612</v>
      </c>
      <c r="Q202">
        <f t="shared" ca="1" si="37"/>
        <v>0.22403817050733019</v>
      </c>
      <c r="R202">
        <f t="shared" ca="1" si="38"/>
        <v>0.42357432218861918</v>
      </c>
      <c r="S202" cm="1">
        <f t="array" aca="1" ref="S202" ca="1">SUMPRODUCT(O201:R201*(B202:E202-B201:E201)/B201:E201)</f>
        <v>-5.0150493825307767E-3</v>
      </c>
      <c r="T202">
        <f t="shared" ca="1" si="39"/>
        <v>1763.6246484354222</v>
      </c>
    </row>
    <row r="203" spans="1:20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30"/>
        <v>276608</v>
      </c>
      <c r="K203">
        <f t="shared" ca="1" si="31"/>
        <v>2417358</v>
      </c>
      <c r="L203">
        <f t="shared" ca="1" si="32"/>
        <v>1709250</v>
      </c>
      <c r="M203">
        <f t="shared" ca="1" si="33"/>
        <v>3240824.9999999995</v>
      </c>
      <c r="N203">
        <f t="shared" ca="1" si="34"/>
        <v>7644041</v>
      </c>
      <c r="O203">
        <f t="shared" ca="1" si="35"/>
        <v>3.6186095809794844E-2</v>
      </c>
      <c r="P203">
        <f t="shared" ca="1" si="36"/>
        <v>0.31624084695516413</v>
      </c>
      <c r="Q203">
        <f t="shared" ca="1" si="37"/>
        <v>0.22360555104296276</v>
      </c>
      <c r="R203">
        <f t="shared" ca="1" si="38"/>
        <v>0.42396750619207818</v>
      </c>
      <c r="S203" cm="1">
        <f t="array" aca="1" ref="S203" ca="1">SUMPRODUCT(O202:R202*(B203:E203-B202:E202)/B202:E202)</f>
        <v>-1.4213866212103552E-2</v>
      </c>
      <c r="T203">
        <f t="shared" ca="1" si="39"/>
        <v>1738.5567236341928</v>
      </c>
    </row>
    <row r="204" spans="1:20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30"/>
        <v>276800</v>
      </c>
      <c r="K204">
        <f t="shared" ca="1" si="31"/>
        <v>2436968</v>
      </c>
      <c r="L204">
        <f t="shared" ca="1" si="32"/>
        <v>1723750</v>
      </c>
      <c r="M204">
        <f t="shared" ca="1" si="33"/>
        <v>3297105</v>
      </c>
      <c r="N204">
        <f t="shared" ca="1" si="34"/>
        <v>7734623</v>
      </c>
      <c r="O204">
        <f t="shared" ca="1" si="35"/>
        <v>3.5787135326440601E-2</v>
      </c>
      <c r="P204">
        <f t="shared" ca="1" si="36"/>
        <v>0.31507262862068391</v>
      </c>
      <c r="Q204">
        <f t="shared" ca="1" si="37"/>
        <v>0.22286154089216759</v>
      </c>
      <c r="R204">
        <f t="shared" ca="1" si="38"/>
        <v>0.42627869516070788</v>
      </c>
      <c r="S204" cm="1">
        <f t="array" aca="1" ref="S204" ca="1">SUMPRODUCT(O203:R203*(B204:E204-B203:E203)/B203:E203)</f>
        <v>1.1850014933200899E-2</v>
      </c>
      <c r="T204">
        <f t="shared" ca="1" si="39"/>
        <v>1759.1586467714747</v>
      </c>
    </row>
    <row r="205" spans="1:20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30"/>
        <v>277504</v>
      </c>
      <c r="K205">
        <f t="shared" ca="1" si="31"/>
        <v>2445922</v>
      </c>
      <c r="L205">
        <f t="shared" ca="1" si="32"/>
        <v>1751500</v>
      </c>
      <c r="M205">
        <f t="shared" ca="1" si="33"/>
        <v>3281775</v>
      </c>
      <c r="N205">
        <f t="shared" ca="1" si="34"/>
        <v>7756701</v>
      </c>
      <c r="O205">
        <f t="shared" ca="1" si="35"/>
        <v>3.577603416710274E-2</v>
      </c>
      <c r="P205">
        <f t="shared" ca="1" si="36"/>
        <v>0.31533018998669665</v>
      </c>
      <c r="Q205">
        <f t="shared" ca="1" si="37"/>
        <v>0.22580475900772765</v>
      </c>
      <c r="R205">
        <f t="shared" ca="1" si="38"/>
        <v>0.42308901683847294</v>
      </c>
      <c r="S205" cm="1">
        <f t="array" aca="1" ref="S205" ca="1">SUMPRODUCT(O204:R204*(B205:E205-B204:E204)/B204:E204)</f>
        <v>2.8544377663914642E-3</v>
      </c>
      <c r="T205">
        <f t="shared" ca="1" si="39"/>
        <v>1764.1800556498933</v>
      </c>
    </row>
    <row r="206" spans="1:20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30"/>
        <v>273760</v>
      </c>
      <c r="K206">
        <f t="shared" ca="1" si="31"/>
        <v>2520958</v>
      </c>
      <c r="L206">
        <f t="shared" ca="1" si="32"/>
        <v>1583375</v>
      </c>
      <c r="M206">
        <f t="shared" ca="1" si="33"/>
        <v>3145064.9999999995</v>
      </c>
      <c r="N206">
        <f t="shared" ca="1" si="34"/>
        <v>7523158</v>
      </c>
      <c r="O206">
        <f t="shared" ca="1" si="35"/>
        <v>3.6388973885700657E-2</v>
      </c>
      <c r="P206">
        <f t="shared" ca="1" si="36"/>
        <v>0.335093055336602</v>
      </c>
      <c r="Q206">
        <f t="shared" ca="1" si="37"/>
        <v>0.21046680130870574</v>
      </c>
      <c r="R206">
        <f t="shared" ca="1" si="38"/>
        <v>0.41805116946899157</v>
      </c>
      <c r="S206" cm="1">
        <f t="array" aca="1" ref="S206" ca="1">SUMPRODUCT(O205:R205*(B206:E206-B205:E205)/B205:E205)</f>
        <v>-3.010854743530789E-2</v>
      </c>
      <c r="T206">
        <f t="shared" ca="1" si="39"/>
        <v>1711.0631567599344</v>
      </c>
    </row>
    <row r="207" spans="1:20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30"/>
        <v>267024</v>
      </c>
      <c r="K207">
        <f t="shared" ca="1" si="31"/>
        <v>2426386</v>
      </c>
      <c r="L207">
        <f t="shared" ca="1" si="32"/>
        <v>1543000</v>
      </c>
      <c r="M207">
        <f t="shared" ca="1" si="33"/>
        <v>3027675.0000000005</v>
      </c>
      <c r="N207">
        <f t="shared" ca="1" si="34"/>
        <v>7264085</v>
      </c>
      <c r="O207">
        <f t="shared" ca="1" si="35"/>
        <v>3.6759481751659016E-2</v>
      </c>
      <c r="P207">
        <f t="shared" ca="1" si="36"/>
        <v>0.33402500108410077</v>
      </c>
      <c r="Q207">
        <f t="shared" ca="1" si="37"/>
        <v>0.21241491529903628</v>
      </c>
      <c r="R207">
        <f t="shared" ca="1" si="38"/>
        <v>0.41680060186520401</v>
      </c>
      <c r="S207" cm="1">
        <f t="array" aca="1" ref="S207" ca="1">SUMPRODUCT(O206:R206*(B207:E207-B206:E206)/B206:E206)</f>
        <v>-3.4436735211463024E-2</v>
      </c>
      <c r="T207">
        <f t="shared" ca="1" si="39"/>
        <v>1652.1397279005023</v>
      </c>
    </row>
    <row r="208" spans="1:20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30"/>
        <v>269152</v>
      </c>
      <c r="K208">
        <f t="shared" ca="1" si="31"/>
        <v>2440594</v>
      </c>
      <c r="L208">
        <f t="shared" ca="1" si="32"/>
        <v>1542500</v>
      </c>
      <c r="M208">
        <f t="shared" ca="1" si="33"/>
        <v>3115665</v>
      </c>
      <c r="N208">
        <f t="shared" ca="1" si="34"/>
        <v>7367911</v>
      </c>
      <c r="O208">
        <f t="shared" ca="1" si="35"/>
        <v>3.6530300108131054E-2</v>
      </c>
      <c r="P208">
        <f t="shared" ca="1" si="36"/>
        <v>0.33124640077764239</v>
      </c>
      <c r="Q208">
        <f t="shared" ca="1" si="37"/>
        <v>0.20935377748183984</v>
      </c>
      <c r="R208">
        <f t="shared" ca="1" si="38"/>
        <v>0.42286952163238672</v>
      </c>
      <c r="S208" cm="1">
        <f t="array" aca="1" ref="S208" ca="1">SUMPRODUCT(O207:R207*(B208:E208-B207:E207)/B207:E207)</f>
        <v>1.4293059621411395E-2</v>
      </c>
      <c r="T208">
        <f t="shared" ca="1" si="39"/>
        <v>1675.7538595342867</v>
      </c>
    </row>
    <row r="209" spans="1:20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30"/>
        <v>272464</v>
      </c>
      <c r="K209">
        <f t="shared" ca="1" si="31"/>
        <v>2496094</v>
      </c>
      <c r="L209">
        <f t="shared" ca="1" si="32"/>
        <v>1571875</v>
      </c>
      <c r="M209">
        <f t="shared" ca="1" si="33"/>
        <v>3177930.0000000005</v>
      </c>
      <c r="N209">
        <f t="shared" ca="1" si="34"/>
        <v>7518363</v>
      </c>
      <c r="O209">
        <f t="shared" ca="1" si="35"/>
        <v>3.6239803797715006E-2</v>
      </c>
      <c r="P209">
        <f t="shared" ca="1" si="36"/>
        <v>0.33199966535268383</v>
      </c>
      <c r="Q209">
        <f t="shared" ca="1" si="37"/>
        <v>0.20907144281275059</v>
      </c>
      <c r="R209">
        <f t="shared" ca="1" si="38"/>
        <v>0.42268908803685062</v>
      </c>
      <c r="S209" cm="1">
        <f t="array" aca="1" ref="S209" ca="1">SUMPRODUCT(O208:R208*(B209:E209-B208:E208)/B208:E208)</f>
        <v>2.0419899208880238E-2</v>
      </c>
      <c r="T209">
        <f t="shared" ca="1" si="39"/>
        <v>1709.9725844448687</v>
      </c>
    </row>
    <row r="210" spans="1:20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30"/>
        <v>273232</v>
      </c>
      <c r="K210">
        <f t="shared" ca="1" si="31"/>
        <v>2502014</v>
      </c>
      <c r="L210">
        <f t="shared" ca="1" si="32"/>
        <v>1566250</v>
      </c>
      <c r="M210">
        <f t="shared" ca="1" si="33"/>
        <v>3163335</v>
      </c>
      <c r="N210">
        <f t="shared" ca="1" si="34"/>
        <v>7504831</v>
      </c>
      <c r="O210">
        <f t="shared" ca="1" si="35"/>
        <v>3.6407482060555392E-2</v>
      </c>
      <c r="P210">
        <f t="shared" ca="1" si="36"/>
        <v>0.33338712090918504</v>
      </c>
      <c r="Q210">
        <f t="shared" ca="1" si="37"/>
        <v>0.20869890341301489</v>
      </c>
      <c r="R210">
        <f t="shared" ca="1" si="38"/>
        <v>0.42150649361724468</v>
      </c>
      <c r="S210" cm="1">
        <f t="array" aca="1" ref="S210" ca="1">SUMPRODUCT(O209:R209*(B210:E210-B209:E209)/B209:E209)</f>
        <v>-1.7998598897127438E-3</v>
      </c>
      <c r="T210">
        <f t="shared" ca="1" si="39"/>
        <v>1706.8948733776178</v>
      </c>
    </row>
    <row r="211" spans="1:20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30"/>
        <v>278352</v>
      </c>
      <c r="K211">
        <f t="shared" ca="1" si="31"/>
        <v>2560918</v>
      </c>
      <c r="L211">
        <f t="shared" ca="1" si="32"/>
        <v>1594625</v>
      </c>
      <c r="M211">
        <f t="shared" ca="1" si="33"/>
        <v>3274425.0000000005</v>
      </c>
      <c r="N211">
        <f t="shared" ca="1" si="34"/>
        <v>7708320</v>
      </c>
      <c r="O211">
        <f t="shared" ca="1" si="35"/>
        <v>3.6110592191294602E-2</v>
      </c>
      <c r="P211">
        <f t="shared" ca="1" si="36"/>
        <v>0.3322277746642589</v>
      </c>
      <c r="Q211">
        <f t="shared" ca="1" si="37"/>
        <v>0.20687062810054591</v>
      </c>
      <c r="R211">
        <f t="shared" ca="1" si="38"/>
        <v>0.42479100504390066</v>
      </c>
      <c r="S211" cm="1">
        <f t="array" aca="1" ref="S211" ca="1">SUMPRODUCT(O210:R210*(B211:E211-B210:E210)/B210:E210)</f>
        <v>2.7114401376926438E-2</v>
      </c>
      <c r="T211">
        <f t="shared" ca="1" si="39"/>
        <v>1753.1763060825965</v>
      </c>
    </row>
    <row r="212" spans="1:20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30"/>
        <v>284112</v>
      </c>
      <c r="K212">
        <f t="shared" ca="1" si="31"/>
        <v>2577568</v>
      </c>
      <c r="L212">
        <f t="shared" ca="1" si="32"/>
        <v>1607250.0000000002</v>
      </c>
      <c r="M212">
        <f t="shared" ca="1" si="33"/>
        <v>3264135</v>
      </c>
      <c r="N212">
        <f t="shared" ca="1" si="34"/>
        <v>7733065</v>
      </c>
      <c r="O212">
        <f t="shared" ca="1" si="35"/>
        <v>3.6739895500684398E-2</v>
      </c>
      <c r="P212">
        <f t="shared" ca="1" si="36"/>
        <v>0.33331777244856986</v>
      </c>
      <c r="Q212">
        <f t="shared" ca="1" si="37"/>
        <v>0.20784126345763293</v>
      </c>
      <c r="R212">
        <f t="shared" ca="1" si="38"/>
        <v>0.4221010685931128</v>
      </c>
      <c r="S212" cm="1">
        <f t="array" aca="1" ref="S212" ca="1">SUMPRODUCT(O211:R211*(B212:E212-B211:E211)/B211:E211)</f>
        <v>3.2101677148847017E-3</v>
      </c>
      <c r="T212">
        <f t="shared" ca="1" si="39"/>
        <v>1758.8042960588839</v>
      </c>
    </row>
    <row r="213" spans="1:20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30"/>
        <v>282640</v>
      </c>
      <c r="K213">
        <f t="shared" ca="1" si="31"/>
        <v>2610720</v>
      </c>
      <c r="L213">
        <f t="shared" ca="1" si="32"/>
        <v>1629625</v>
      </c>
      <c r="M213">
        <f t="shared" ca="1" si="33"/>
        <v>3303300.0000000005</v>
      </c>
      <c r="N213">
        <f t="shared" ca="1" si="34"/>
        <v>7826285</v>
      </c>
      <c r="O213">
        <f t="shared" ca="1" si="35"/>
        <v>3.6114197221286982E-2</v>
      </c>
      <c r="P213">
        <f t="shared" ca="1" si="36"/>
        <v>0.33358355848272842</v>
      </c>
      <c r="Q213">
        <f t="shared" ca="1" si="37"/>
        <v>0.20822459187213346</v>
      </c>
      <c r="R213">
        <f t="shared" ca="1" si="38"/>
        <v>0.4220776524238512</v>
      </c>
      <c r="S213" cm="1">
        <f t="array" aca="1" ref="S213" ca="1">SUMPRODUCT(O212:R212*(B213:E213-B212:E212)/B212:E212)</f>
        <v>1.2054728623126825E-2</v>
      </c>
      <c r="T213">
        <f t="shared" ca="1" si="39"/>
        <v>1780.0062045490631</v>
      </c>
    </row>
    <row r="214" spans="1:20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30"/>
        <v>286768</v>
      </c>
      <c r="K214">
        <f t="shared" ca="1" si="31"/>
        <v>2638322</v>
      </c>
      <c r="L214">
        <f t="shared" ca="1" si="32"/>
        <v>1643124.9999999998</v>
      </c>
      <c r="M214">
        <f t="shared" ca="1" si="33"/>
        <v>3315900</v>
      </c>
      <c r="N214">
        <f t="shared" ca="1" si="34"/>
        <v>7884115</v>
      </c>
      <c r="O214">
        <f t="shared" ca="1" si="35"/>
        <v>3.6372883957172114E-2</v>
      </c>
      <c r="P214">
        <f t="shared" ca="1" si="36"/>
        <v>0.33463768603070859</v>
      </c>
      <c r="Q214">
        <f t="shared" ca="1" si="37"/>
        <v>0.20840956784623255</v>
      </c>
      <c r="R214">
        <f t="shared" ca="1" si="38"/>
        <v>0.42057986216588672</v>
      </c>
      <c r="S214" cm="1">
        <f t="array" aca="1" ref="S214" ca="1">SUMPRODUCT(O213:R213*(B214:E214-B213:E213)/B213:E213)</f>
        <v>7.389201901029591E-3</v>
      </c>
      <c r="T214">
        <f t="shared" ca="1" si="39"/>
        <v>1793.1590297795615</v>
      </c>
    </row>
    <row r="215" spans="1:20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30"/>
        <v>290912</v>
      </c>
      <c r="K215">
        <f t="shared" ca="1" si="31"/>
        <v>2667922</v>
      </c>
      <c r="L215">
        <f t="shared" ca="1" si="32"/>
        <v>1655000</v>
      </c>
      <c r="M215">
        <f t="shared" ca="1" si="33"/>
        <v>3347610</v>
      </c>
      <c r="N215">
        <f t="shared" ca="1" si="34"/>
        <v>7961444</v>
      </c>
      <c r="O215">
        <f t="shared" ca="1" si="35"/>
        <v>3.654010503622207E-2</v>
      </c>
      <c r="P215">
        <f t="shared" ca="1" si="36"/>
        <v>0.33510528994488942</v>
      </c>
      <c r="Q215">
        <f t="shared" ca="1" si="37"/>
        <v>0.20787686253900675</v>
      </c>
      <c r="R215">
        <f t="shared" ca="1" si="38"/>
        <v>0.42047774247988179</v>
      </c>
      <c r="S215" cm="1">
        <f t="array" aca="1" ref="S215" ca="1">SUMPRODUCT(O214:R214*(B215:E215-B214:E214)/B214:E214)</f>
        <v>9.8082029498555035E-3</v>
      </c>
      <c r="T215">
        <f t="shared" ca="1" si="39"/>
        <v>1810.7466974650051</v>
      </c>
    </row>
    <row r="216" spans="1:20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30"/>
        <v>292624</v>
      </c>
      <c r="K216">
        <f t="shared" ca="1" si="31"/>
        <v>2687680</v>
      </c>
      <c r="L216">
        <f t="shared" ca="1" si="32"/>
        <v>1665750</v>
      </c>
      <c r="M216">
        <f t="shared" ca="1" si="33"/>
        <v>3357689.9999999995</v>
      </c>
      <c r="N216">
        <f t="shared" ca="1" si="34"/>
        <v>8003744</v>
      </c>
      <c r="O216">
        <f t="shared" ca="1" si="35"/>
        <v>3.6560889503712266E-2</v>
      </c>
      <c r="P216">
        <f t="shared" ca="1" si="36"/>
        <v>0.33580284426888218</v>
      </c>
      <c r="Q216">
        <f t="shared" ca="1" si="37"/>
        <v>0.20812134920857039</v>
      </c>
      <c r="R216">
        <f t="shared" ca="1" si="38"/>
        <v>0.41951491701883514</v>
      </c>
      <c r="S216" cm="1">
        <f t="array" aca="1" ref="S216" ca="1">SUMPRODUCT(O215:R215*(B216:E216-B215:E215)/B215:E215)</f>
        <v>5.3131065168579607E-3</v>
      </c>
      <c r="T216">
        <f t="shared" ca="1" si="39"/>
        <v>1820.3673875436855</v>
      </c>
    </row>
    <row r="217" spans="1:20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30"/>
        <v>291856</v>
      </c>
      <c r="K217">
        <f t="shared" ca="1" si="31"/>
        <v>2669106</v>
      </c>
      <c r="L217">
        <f t="shared" ca="1" si="32"/>
        <v>1646125</v>
      </c>
      <c r="M217">
        <f t="shared" ca="1" si="33"/>
        <v>3365775</v>
      </c>
      <c r="N217">
        <f t="shared" ca="1" si="34"/>
        <v>7972862</v>
      </c>
      <c r="O217">
        <f t="shared" ca="1" si="35"/>
        <v>3.660617730496276E-2</v>
      </c>
      <c r="P217">
        <f t="shared" ca="1" si="36"/>
        <v>0.33477388671721647</v>
      </c>
      <c r="Q217">
        <f t="shared" ca="1" si="37"/>
        <v>0.20646600932011616</v>
      </c>
      <c r="R217">
        <f t="shared" ca="1" si="38"/>
        <v>0.42215392665770463</v>
      </c>
      <c r="S217" cm="1">
        <f t="array" aca="1" ref="S217" ca="1">SUMPRODUCT(O216:R216*(B217:E217-B216:E216)/B216:E216)</f>
        <v>-3.8584442480918218E-3</v>
      </c>
      <c r="T217">
        <f t="shared" ca="1" si="39"/>
        <v>1813.3436014678036</v>
      </c>
    </row>
    <row r="218" spans="1:20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30"/>
        <v>298240</v>
      </c>
      <c r="K218">
        <f t="shared" ca="1" si="31"/>
        <v>2735558</v>
      </c>
      <c r="L218">
        <f t="shared" ca="1" si="32"/>
        <v>1675750</v>
      </c>
      <c r="M218">
        <f t="shared" ca="1" si="33"/>
        <v>3452085</v>
      </c>
      <c r="N218">
        <f t="shared" ca="1" si="34"/>
        <v>8161633</v>
      </c>
      <c r="O218">
        <f t="shared" ca="1" si="35"/>
        <v>3.6541706788335127E-2</v>
      </c>
      <c r="P218">
        <f t="shared" ca="1" si="36"/>
        <v>0.33517287533021883</v>
      </c>
      <c r="Q218">
        <f t="shared" ca="1" si="37"/>
        <v>0.2053204303599537</v>
      </c>
      <c r="R218">
        <f t="shared" ca="1" si="38"/>
        <v>0.42296498752149231</v>
      </c>
      <c r="S218" cm="1">
        <f t="array" aca="1" ref="S218" ca="1">SUMPRODUCT(O217:R217*(B218:E218-B217:E217)/B217:E217)</f>
        <v>2.3676692259316654E-2</v>
      </c>
      <c r="T218">
        <f t="shared" ca="1" si="39"/>
        <v>1856.2775798801576</v>
      </c>
    </row>
    <row r="219" spans="1:20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30"/>
        <v>295680</v>
      </c>
      <c r="K219">
        <f t="shared" ca="1" si="31"/>
        <v>2713432</v>
      </c>
      <c r="L219">
        <f t="shared" ca="1" si="32"/>
        <v>1670499.9999999998</v>
      </c>
      <c r="M219">
        <f t="shared" ca="1" si="33"/>
        <v>3456495</v>
      </c>
      <c r="N219">
        <f t="shared" ca="1" si="34"/>
        <v>8136107</v>
      </c>
      <c r="O219">
        <f t="shared" ca="1" si="35"/>
        <v>3.6341704945620799E-2</v>
      </c>
      <c r="P219">
        <f t="shared" ca="1" si="36"/>
        <v>0.33350495513394796</v>
      </c>
      <c r="Q219">
        <f t="shared" ca="1" si="37"/>
        <v>0.20531932532352387</v>
      </c>
      <c r="R219">
        <f t="shared" ca="1" si="38"/>
        <v>0.42483401459690734</v>
      </c>
      <c r="S219" cm="1">
        <f t="array" aca="1" ref="S219" ca="1">SUMPRODUCT(O218:R218*(B219:E219-B218:E218)/B218:E218)</f>
        <v>-3.1275603791545261E-3</v>
      </c>
      <c r="T219">
        <f t="shared" ca="1" si="39"/>
        <v>1850.4719596686116</v>
      </c>
    </row>
    <row r="220" spans="1:20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30"/>
        <v>299904</v>
      </c>
      <c r="K220">
        <f t="shared" ca="1" si="31"/>
        <v>2739998</v>
      </c>
      <c r="L220">
        <f t="shared" ca="1" si="32"/>
        <v>1692875</v>
      </c>
      <c r="M220">
        <f t="shared" ca="1" si="33"/>
        <v>3531255</v>
      </c>
      <c r="N220">
        <f t="shared" ca="1" si="34"/>
        <v>8264032</v>
      </c>
      <c r="O220">
        <f t="shared" ca="1" si="35"/>
        <v>3.6290275739493748E-2</v>
      </c>
      <c r="P220">
        <f t="shared" ca="1" si="36"/>
        <v>0.33155704140545439</v>
      </c>
      <c r="Q220">
        <f t="shared" ca="1" si="37"/>
        <v>0.20484855334538879</v>
      </c>
      <c r="R220">
        <f t="shared" ca="1" si="38"/>
        <v>0.42730412950966307</v>
      </c>
      <c r="S220" cm="1">
        <f t="array" aca="1" ref="S220" ca="1">SUMPRODUCT(O219:R219*(B220:E220-B219:E219)/B219:E219)</f>
        <v>1.5723121635445564E-2</v>
      </c>
      <c r="T220">
        <f t="shared" ca="1" si="39"/>
        <v>1879.5671553734626</v>
      </c>
    </row>
    <row r="221" spans="1:20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30"/>
        <v>300816</v>
      </c>
      <c r="K221">
        <f t="shared" ca="1" si="31"/>
        <v>2735558</v>
      </c>
      <c r="L221">
        <f t="shared" ca="1" si="32"/>
        <v>1704750</v>
      </c>
      <c r="M221">
        <f t="shared" ca="1" si="33"/>
        <v>3493455</v>
      </c>
      <c r="N221">
        <f t="shared" ca="1" si="34"/>
        <v>8234579</v>
      </c>
      <c r="O221">
        <f t="shared" ca="1" si="35"/>
        <v>3.6530829323514903E-2</v>
      </c>
      <c r="P221">
        <f t="shared" ca="1" si="36"/>
        <v>0.33220374714967216</v>
      </c>
      <c r="Q221">
        <f t="shared" ca="1" si="37"/>
        <v>0.2070233341619529</v>
      </c>
      <c r="R221">
        <f t="shared" ca="1" si="38"/>
        <v>0.42424208936486008</v>
      </c>
      <c r="S221" cm="1">
        <f t="array" aca="1" ref="S221" ca="1">SUMPRODUCT(O220:R220*(B221:E221-B220:E220)/B220:E220)</f>
        <v>-3.5639987841286362E-3</v>
      </c>
      <c r="T221">
        <f t="shared" ca="1" si="39"/>
        <v>1872.8683803170236</v>
      </c>
    </row>
    <row r="222" spans="1:20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30"/>
        <v>303536</v>
      </c>
      <c r="K222">
        <f t="shared" ca="1" si="31"/>
        <v>2783658</v>
      </c>
      <c r="L222">
        <f t="shared" ca="1" si="32"/>
        <v>1733749.9999999998</v>
      </c>
      <c r="M222">
        <f t="shared" ca="1" si="33"/>
        <v>3508995</v>
      </c>
      <c r="N222">
        <f t="shared" ca="1" si="34"/>
        <v>8329939</v>
      </c>
      <c r="O222">
        <f t="shared" ca="1" si="35"/>
        <v>3.6439162399628619E-2</v>
      </c>
      <c r="P222">
        <f t="shared" ca="1" si="36"/>
        <v>0.33417507619203451</v>
      </c>
      <c r="Q222">
        <f t="shared" ca="1" si="37"/>
        <v>0.20813477745755399</v>
      </c>
      <c r="R222">
        <f t="shared" ca="1" si="38"/>
        <v>0.42125098395078281</v>
      </c>
      <c r="S222" cm="1">
        <f t="array" aca="1" ref="S222" ca="1">SUMPRODUCT(O221:R221*(B222:E222-B221:E221)/B221:E221)</f>
        <v>1.1580434166701192E-2</v>
      </c>
      <c r="T222">
        <f t="shared" ca="1" si="39"/>
        <v>1894.5570092981811</v>
      </c>
    </row>
    <row r="223" spans="1:20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30"/>
        <v>303504</v>
      </c>
      <c r="K223">
        <f t="shared" ca="1" si="31"/>
        <v>2736890</v>
      </c>
      <c r="L223">
        <f t="shared" ca="1" si="32"/>
        <v>1711750</v>
      </c>
      <c r="M223">
        <f t="shared" ca="1" si="33"/>
        <v>3517920</v>
      </c>
      <c r="N223">
        <f t="shared" ca="1" si="34"/>
        <v>8270064</v>
      </c>
      <c r="O223">
        <f t="shared" ca="1" si="35"/>
        <v>3.6699111397445049E-2</v>
      </c>
      <c r="P223">
        <f t="shared" ca="1" si="36"/>
        <v>0.33093939780877152</v>
      </c>
      <c r="Q223">
        <f t="shared" ca="1" si="37"/>
        <v>0.20698146955090069</v>
      </c>
      <c r="R223">
        <f t="shared" ca="1" si="38"/>
        <v>0.42538002124288277</v>
      </c>
      <c r="S223" cm="1">
        <f t="array" aca="1" ref="S223" ca="1">SUMPRODUCT(O222:R222*(B223:E223-B222:E222)/B222:E222)</f>
        <v>-7.1879277867460496E-3</v>
      </c>
      <c r="T223">
        <f t="shared" ca="1" si="39"/>
        <v>1880.9390703274723</v>
      </c>
    </row>
    <row r="224" spans="1:20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30"/>
        <v>306320</v>
      </c>
      <c r="K224">
        <f t="shared" ca="1" si="31"/>
        <v>2793056</v>
      </c>
      <c r="L224">
        <f t="shared" ca="1" si="32"/>
        <v>1723999.9999999998</v>
      </c>
      <c r="M224">
        <f t="shared" ca="1" si="33"/>
        <v>3569685.0000000005</v>
      </c>
      <c r="N224">
        <f t="shared" ca="1" si="34"/>
        <v>8393061</v>
      </c>
      <c r="O224">
        <f t="shared" ca="1" si="35"/>
        <v>3.649681564330344E-2</v>
      </c>
      <c r="P224">
        <f t="shared" ca="1" si="36"/>
        <v>0.33278156801195652</v>
      </c>
      <c r="Q224">
        <f t="shared" ca="1" si="37"/>
        <v>0.20540777673366126</v>
      </c>
      <c r="R224">
        <f t="shared" ca="1" si="38"/>
        <v>0.42531383961107877</v>
      </c>
      <c r="S224" cm="1">
        <f t="array" aca="1" ref="S224" ca="1">SUMPRODUCT(O223:R223*(B224:E224-B223:E223)/B223:E223)</f>
        <v>1.4872557213583805E-2</v>
      </c>
      <c r="T224">
        <f t="shared" ca="1" si="39"/>
        <v>1908.9134442661825</v>
      </c>
    </row>
    <row r="225" spans="1:20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30"/>
        <v>305024</v>
      </c>
      <c r="K225">
        <f t="shared" ca="1" si="31"/>
        <v>2760718</v>
      </c>
      <c r="L225">
        <f t="shared" ca="1" si="32"/>
        <v>1732750</v>
      </c>
      <c r="M225">
        <f t="shared" ca="1" si="33"/>
        <v>3538290</v>
      </c>
      <c r="N225">
        <f t="shared" ca="1" si="34"/>
        <v>8336782</v>
      </c>
      <c r="O225">
        <f t="shared" ca="1" si="35"/>
        <v>3.6587738530286629E-2</v>
      </c>
      <c r="P225">
        <f t="shared" ca="1" si="36"/>
        <v>0.33114911724931756</v>
      </c>
      <c r="Q225">
        <f t="shared" ca="1" si="37"/>
        <v>0.20784398584489794</v>
      </c>
      <c r="R225">
        <f t="shared" ca="1" si="38"/>
        <v>0.42441915837549787</v>
      </c>
      <c r="S225" cm="1">
        <f t="array" aca="1" ref="S225" ca="1">SUMPRODUCT(O224:R224*(B225:E225-B224:E224)/B224:E224)</f>
        <v>-6.7054201083490174E-3</v>
      </c>
      <c r="T225">
        <f t="shared" ca="1" si="39"/>
        <v>1896.1133776719021</v>
      </c>
    </row>
    <row r="226" spans="1:20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30"/>
        <v>306096</v>
      </c>
      <c r="K226">
        <f t="shared" ca="1" si="31"/>
        <v>2796090</v>
      </c>
      <c r="L226">
        <f t="shared" ca="1" si="32"/>
        <v>1750250.0000000002</v>
      </c>
      <c r="M226">
        <f t="shared" ca="1" si="33"/>
        <v>3585645</v>
      </c>
      <c r="N226">
        <f t="shared" ca="1" si="34"/>
        <v>8438081</v>
      </c>
      <c r="O226">
        <f t="shared" ca="1" si="35"/>
        <v>3.6275546537180667E-2</v>
      </c>
      <c r="P226">
        <f t="shared" ca="1" si="36"/>
        <v>0.33136562685283538</v>
      </c>
      <c r="Q226">
        <f t="shared" ca="1" si="37"/>
        <v>0.20742275405983898</v>
      </c>
      <c r="R226">
        <f t="shared" ca="1" si="38"/>
        <v>0.42493607255014498</v>
      </c>
      <c r="S226" cm="1">
        <f t="array" aca="1" ref="S226" ca="1">SUMPRODUCT(O225:R225*(B226:E226-B225:E225)/B225:E225)</f>
        <v>1.2150851491618734E-2</v>
      </c>
      <c r="T226">
        <f t="shared" ca="1" si="39"/>
        <v>1919.1527697352649</v>
      </c>
    </row>
    <row r="227" spans="1:20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30"/>
        <v>303952</v>
      </c>
      <c r="K227">
        <f t="shared" ca="1" si="31"/>
        <v>2792982</v>
      </c>
      <c r="L227">
        <f t="shared" ca="1" si="32"/>
        <v>1727750</v>
      </c>
      <c r="M227">
        <f t="shared" ca="1" si="33"/>
        <v>3551415</v>
      </c>
      <c r="N227">
        <f t="shared" ca="1" si="34"/>
        <v>8376099</v>
      </c>
      <c r="O227">
        <f t="shared" ca="1" si="35"/>
        <v>3.6288014265351928E-2</v>
      </c>
      <c r="P227">
        <f t="shared" ca="1" si="36"/>
        <v>0.33344663189869173</v>
      </c>
      <c r="Q227">
        <f t="shared" ca="1" si="37"/>
        <v>0.20627143972390966</v>
      </c>
      <c r="R227">
        <f t="shared" ca="1" si="38"/>
        <v>0.42399391411204668</v>
      </c>
      <c r="S227" cm="1">
        <f t="array" aca="1" ref="S227" ca="1">SUMPRODUCT(O226:R226*(B227:E227-B226:E226)/B226:E226)</f>
        <v>-7.3455090085056268E-3</v>
      </c>
      <c r="T227">
        <f t="shared" ca="1" si="39"/>
        <v>1905.0556157764761</v>
      </c>
    </row>
    <row r="228" spans="1:20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30"/>
        <v>303664</v>
      </c>
      <c r="K228">
        <f t="shared" ca="1" si="31"/>
        <v>2801714</v>
      </c>
      <c r="L228">
        <f t="shared" ca="1" si="32"/>
        <v>1725625.0000000002</v>
      </c>
      <c r="M228">
        <f t="shared" ca="1" si="33"/>
        <v>3514350</v>
      </c>
      <c r="N228">
        <f t="shared" ca="1" si="34"/>
        <v>8345353</v>
      </c>
      <c r="O228">
        <f t="shared" ca="1" si="35"/>
        <v>3.638719656316515E-2</v>
      </c>
      <c r="P228">
        <f t="shared" ca="1" si="36"/>
        <v>0.33572144881109284</v>
      </c>
      <c r="Q228">
        <f t="shared" ca="1" si="37"/>
        <v>0.20677675348184796</v>
      </c>
      <c r="R228">
        <f t="shared" ca="1" si="38"/>
        <v>0.4211146011438941</v>
      </c>
      <c r="S228" cm="1">
        <f t="array" aca="1" ref="S228" ca="1">SUMPRODUCT(O227:R227*(B228:E228-B227:E227)/B227:E227)</f>
        <v>-3.6706824979026772E-3</v>
      </c>
      <c r="T228">
        <f t="shared" ca="1" si="39"/>
        <v>1898.0627614701141</v>
      </c>
    </row>
    <row r="229" spans="1:20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30"/>
        <v>304640</v>
      </c>
      <c r="K229">
        <f t="shared" ca="1" si="31"/>
        <v>2831980</v>
      </c>
      <c r="L229">
        <f t="shared" ca="1" si="32"/>
        <v>1732750</v>
      </c>
      <c r="M229">
        <f t="shared" ca="1" si="33"/>
        <v>3559395</v>
      </c>
      <c r="N229">
        <f t="shared" ca="1" si="34"/>
        <v>8428765</v>
      </c>
      <c r="O229">
        <f t="shared" ca="1" si="35"/>
        <v>3.614289875207103E-2</v>
      </c>
      <c r="P229">
        <f t="shared" ca="1" si="36"/>
        <v>0.33598991074018553</v>
      </c>
      <c r="Q229">
        <f t="shared" ca="1" si="37"/>
        <v>0.20557578720014141</v>
      </c>
      <c r="R229">
        <f t="shared" ca="1" si="38"/>
        <v>0.42229140330760201</v>
      </c>
      <c r="S229" cm="1">
        <f t="array" aca="1" ref="S229" ca="1">SUMPRODUCT(O228:R228*(B229:E229-B228:E228)/B228:E228)</f>
        <v>9.9950235777923318E-3</v>
      </c>
      <c r="T229">
        <f t="shared" ca="1" si="39"/>
        <v>1917.0339435231376</v>
      </c>
    </row>
    <row r="230" spans="1:20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30"/>
        <v>302992</v>
      </c>
      <c r="K230">
        <f t="shared" ca="1" si="31"/>
        <v>2803490</v>
      </c>
      <c r="L230">
        <f t="shared" ca="1" si="32"/>
        <v>1705000</v>
      </c>
      <c r="M230">
        <f t="shared" ca="1" si="33"/>
        <v>3488100</v>
      </c>
      <c r="N230">
        <f t="shared" ca="1" si="34"/>
        <v>8299582</v>
      </c>
      <c r="O230">
        <f t="shared" ca="1" si="35"/>
        <v>3.6506898781167536E-2</v>
      </c>
      <c r="P230">
        <f t="shared" ca="1" si="36"/>
        <v>0.33778689095426734</v>
      </c>
      <c r="Q230">
        <f t="shared" ca="1" si="37"/>
        <v>0.20543203260115991</v>
      </c>
      <c r="R230">
        <f t="shared" ca="1" si="38"/>
        <v>0.42027417766340519</v>
      </c>
      <c r="S230" cm="1">
        <f t="array" aca="1" ref="S230" ca="1">SUMPRODUCT(O229:R229*(B230:E230-B229:E229)/B229:E229)</f>
        <v>-1.5326444621483687E-2</v>
      </c>
      <c r="T230">
        <f t="shared" ca="1" si="39"/>
        <v>1887.6526289502258</v>
      </c>
    </row>
    <row r="231" spans="1:20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30"/>
        <v>303920</v>
      </c>
      <c r="K231">
        <f t="shared" ca="1" si="31"/>
        <v>2803934</v>
      </c>
      <c r="L231">
        <f t="shared" ca="1" si="32"/>
        <v>1673999.9999999998</v>
      </c>
      <c r="M231">
        <f t="shared" ca="1" si="33"/>
        <v>3435074.9999999995</v>
      </c>
      <c r="N231">
        <f t="shared" ca="1" si="34"/>
        <v>8216929</v>
      </c>
      <c r="O231">
        <f t="shared" ca="1" si="35"/>
        <v>3.6987054409256793E-2</v>
      </c>
      <c r="P231">
        <f t="shared" ca="1" si="36"/>
        <v>0.34123867931681046</v>
      </c>
      <c r="Q231">
        <f t="shared" ca="1" si="37"/>
        <v>0.20372574717391373</v>
      </c>
      <c r="R231">
        <f t="shared" ca="1" si="38"/>
        <v>0.41804851910001894</v>
      </c>
      <c r="S231" cm="1">
        <f t="array" aca="1" ref="S231" ca="1">SUMPRODUCT(O230:R230*(B231:E231-B230:E230)/B230:E230)</f>
        <v>-9.9586943053277081E-3</v>
      </c>
      <c r="T231">
        <f t="shared" ca="1" si="39"/>
        <v>1868.8540734638623</v>
      </c>
    </row>
    <row r="232" spans="1:20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30"/>
        <v>305984</v>
      </c>
      <c r="K232">
        <f t="shared" ca="1" si="31"/>
        <v>2771374</v>
      </c>
      <c r="L232">
        <f t="shared" ca="1" si="32"/>
        <v>1666500</v>
      </c>
      <c r="M232">
        <f t="shared" ca="1" si="33"/>
        <v>3410610</v>
      </c>
      <c r="N232">
        <f t="shared" ca="1" si="34"/>
        <v>8154468</v>
      </c>
      <c r="O232">
        <f t="shared" ca="1" si="35"/>
        <v>3.7523477926457008E-2</v>
      </c>
      <c r="P232">
        <f t="shared" ca="1" si="36"/>
        <v>0.33985957146438001</v>
      </c>
      <c r="Q232">
        <f t="shared" ca="1" si="37"/>
        <v>0.20436648963488482</v>
      </c>
      <c r="R232">
        <f t="shared" ca="1" si="38"/>
        <v>0.41825046097427815</v>
      </c>
      <c r="S232" cm="1">
        <f t="array" aca="1" ref="S232" ca="1">SUMPRODUCT(O231:R231*(B232:E232-B231:E231)/B231:E231)</f>
        <v>-7.6015017289306E-3</v>
      </c>
      <c r="T232">
        <f t="shared" ca="1" si="39"/>
        <v>1854.6479759933077</v>
      </c>
    </row>
    <row r="233" spans="1:20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30"/>
        <v>303088</v>
      </c>
      <c r="K233">
        <f t="shared" ca="1" si="31"/>
        <v>2731636</v>
      </c>
      <c r="L233">
        <f t="shared" ca="1" si="32"/>
        <v>1632875</v>
      </c>
      <c r="M233">
        <f t="shared" ca="1" si="33"/>
        <v>3360210</v>
      </c>
      <c r="N233">
        <f t="shared" ca="1" si="34"/>
        <v>8027809</v>
      </c>
      <c r="O233">
        <f t="shared" ca="1" si="35"/>
        <v>3.7754759735813347E-2</v>
      </c>
      <c r="P233">
        <f t="shared" ca="1" si="36"/>
        <v>0.34027167313024015</v>
      </c>
      <c r="Q233">
        <f t="shared" ca="1" si="37"/>
        <v>0.20340232309961534</v>
      </c>
      <c r="R233">
        <f t="shared" ca="1" si="38"/>
        <v>0.41857124403433116</v>
      </c>
      <c r="S233" cm="1">
        <f t="array" aca="1" ref="S233" ca="1">SUMPRODUCT(O232:R232*(B233:E233-B232:E232)/B232:E232)</f>
        <v>-1.5532466373036246E-2</v>
      </c>
      <c r="T233">
        <f t="shared" ca="1" si="39"/>
        <v>1825.8407186723718</v>
      </c>
    </row>
    <row r="234" spans="1:20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30"/>
        <v>309472</v>
      </c>
      <c r="K234">
        <f t="shared" ca="1" si="31"/>
        <v>2756648</v>
      </c>
      <c r="L234">
        <f t="shared" ca="1" si="32"/>
        <v>1654874.9999999998</v>
      </c>
      <c r="M234">
        <f t="shared" ca="1" si="33"/>
        <v>3342045</v>
      </c>
      <c r="N234">
        <f t="shared" ca="1" si="34"/>
        <v>8063040</v>
      </c>
      <c r="O234">
        <f t="shared" ca="1" si="35"/>
        <v>3.8381553359526928E-2</v>
      </c>
      <c r="P234">
        <f t="shared" ca="1" si="36"/>
        <v>0.34188693098384726</v>
      </c>
      <c r="Q234">
        <f t="shared" ca="1" si="37"/>
        <v>0.20524206750803664</v>
      </c>
      <c r="R234">
        <f t="shared" ca="1" si="38"/>
        <v>0.41448944814858912</v>
      </c>
      <c r="S234" cm="1">
        <f t="array" aca="1" ref="S234" ca="1">SUMPRODUCT(O233:R233*(B234:E234-B233:E233)/B233:E233)</f>
        <v>4.3886196096594009E-3</v>
      </c>
      <c r="T234">
        <f t="shared" ca="1" si="39"/>
        <v>1833.8536390544521</v>
      </c>
    </row>
    <row r="235" spans="1:20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30"/>
        <v>307712</v>
      </c>
      <c r="K235">
        <f t="shared" ca="1" si="31"/>
        <v>2729120</v>
      </c>
      <c r="L235">
        <f t="shared" ca="1" si="32"/>
        <v>1642875</v>
      </c>
      <c r="M235">
        <f t="shared" ca="1" si="33"/>
        <v>3333225</v>
      </c>
      <c r="N235">
        <f t="shared" ca="1" si="34"/>
        <v>8012932</v>
      </c>
      <c r="O235">
        <f t="shared" ca="1" si="35"/>
        <v>3.8401923291000097E-2</v>
      </c>
      <c r="P235">
        <f t="shared" ca="1" si="36"/>
        <v>0.34058943717480694</v>
      </c>
      <c r="Q235">
        <f t="shared" ca="1" si="37"/>
        <v>0.20502794732315213</v>
      </c>
      <c r="R235">
        <f t="shared" ca="1" si="38"/>
        <v>0.41598069221104084</v>
      </c>
      <c r="S235" cm="1">
        <f t="array" aca="1" ref="S235" ca="1">SUMPRODUCT(O234:R234*(B235:E235-B234:E234)/B234:E234)</f>
        <v>-6.214529507481031E-3</v>
      </c>
      <c r="T235">
        <f t="shared" ca="1" si="39"/>
        <v>1822.4571015021468</v>
      </c>
    </row>
    <row r="236" spans="1:20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30"/>
        <v>310832</v>
      </c>
      <c r="K236">
        <f t="shared" ca="1" si="31"/>
        <v>2745030</v>
      </c>
      <c r="L236">
        <f t="shared" ca="1" si="32"/>
        <v>1730624.9999999998</v>
      </c>
      <c r="M236">
        <f t="shared" ca="1" si="33"/>
        <v>3429194.9999999995</v>
      </c>
      <c r="N236">
        <f t="shared" ca="1" si="34"/>
        <v>8215682</v>
      </c>
      <c r="O236">
        <f t="shared" ca="1" si="35"/>
        <v>3.7833986271620546E-2</v>
      </c>
      <c r="P236">
        <f t="shared" ca="1" si="36"/>
        <v>0.33412077049720279</v>
      </c>
      <c r="Q236">
        <f t="shared" ca="1" si="37"/>
        <v>0.21064897594624521</v>
      </c>
      <c r="R236">
        <f t="shared" ca="1" si="38"/>
        <v>0.41739626728493134</v>
      </c>
      <c r="S236" cm="1">
        <f t="array" aca="1" ref="S236" ca="1">SUMPRODUCT(O235:R235*(B236:E236-B235:E235)/B235:E235)</f>
        <v>2.5302847946294751E-2</v>
      </c>
      <c r="T236">
        <f t="shared" ca="1" si="39"/>
        <v>1868.5704564301004</v>
      </c>
    </row>
    <row r="237" spans="1:20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30"/>
        <v>313136</v>
      </c>
      <c r="K237">
        <f t="shared" ca="1" si="31"/>
        <v>2769302</v>
      </c>
      <c r="L237">
        <f t="shared" ca="1" si="32"/>
        <v>1707999.9999999998</v>
      </c>
      <c r="M237">
        <f t="shared" ca="1" si="33"/>
        <v>3493875</v>
      </c>
      <c r="N237">
        <f t="shared" ca="1" si="34"/>
        <v>8284313</v>
      </c>
      <c r="O237">
        <f t="shared" ca="1" si="35"/>
        <v>3.7798668398936641E-2</v>
      </c>
      <c r="P237">
        <f t="shared" ca="1" si="36"/>
        <v>0.33428263755847948</v>
      </c>
      <c r="Q237">
        <f t="shared" ca="1" si="37"/>
        <v>0.20617279912045813</v>
      </c>
      <c r="R237">
        <f t="shared" ca="1" si="38"/>
        <v>0.42174589492212572</v>
      </c>
      <c r="S237" cm="1">
        <f t="array" aca="1" ref="S237" ca="1">SUMPRODUCT(O236:R236*(B237:E237-B236:E236)/B236:E236)</f>
        <v>8.3536582842423136E-3</v>
      </c>
      <c r="T237">
        <f t="shared" ca="1" si="39"/>
        <v>1884.179855503148</v>
      </c>
    </row>
    <row r="238" spans="1:20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30"/>
        <v>309088</v>
      </c>
      <c r="K238">
        <f t="shared" ca="1" si="31"/>
        <v>2747620</v>
      </c>
      <c r="L238">
        <f t="shared" ca="1" si="32"/>
        <v>1683749.9999999998</v>
      </c>
      <c r="M238">
        <f t="shared" ca="1" si="33"/>
        <v>3415439.9999999995</v>
      </c>
      <c r="N238">
        <f t="shared" ca="1" si="34"/>
        <v>8155898</v>
      </c>
      <c r="O238">
        <f t="shared" ca="1" si="35"/>
        <v>3.7897482288277759E-2</v>
      </c>
      <c r="P238">
        <f t="shared" ca="1" si="36"/>
        <v>0.33688748927463291</v>
      </c>
      <c r="Q238">
        <f t="shared" ca="1" si="37"/>
        <v>0.20644569120408321</v>
      </c>
      <c r="R238">
        <f t="shared" ca="1" si="38"/>
        <v>0.41876933723300602</v>
      </c>
      <c r="S238" cm="1">
        <f t="array" aca="1" ref="S238" ca="1">SUMPRODUCT(O237:R237*(B238:E238-B237:E237)/B237:E237)</f>
        <v>-1.5500983606003335E-2</v>
      </c>
      <c r="T238">
        <f t="shared" ca="1" si="39"/>
        <v>1854.9732144522318</v>
      </c>
    </row>
    <row r="239" spans="1:20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30"/>
        <v>311536</v>
      </c>
      <c r="K239">
        <f t="shared" ca="1" si="31"/>
        <v>2770412</v>
      </c>
      <c r="L239">
        <f t="shared" ca="1" si="32"/>
        <v>1670499.9999999998</v>
      </c>
      <c r="M239">
        <f t="shared" ca="1" si="33"/>
        <v>3509310.0000000005</v>
      </c>
      <c r="N239">
        <f t="shared" ca="1" si="34"/>
        <v>8261758</v>
      </c>
      <c r="O239">
        <f t="shared" ca="1" si="35"/>
        <v>3.7708197214200656E-2</v>
      </c>
      <c r="P239">
        <f t="shared" ca="1" si="36"/>
        <v>0.33532959934193185</v>
      </c>
      <c r="Q239">
        <f t="shared" ca="1" si="37"/>
        <v>0.20219667533229607</v>
      </c>
      <c r="R239">
        <f t="shared" ca="1" si="38"/>
        <v>0.42476552811157148</v>
      </c>
      <c r="S239" cm="1">
        <f t="array" aca="1" ref="S239" ca="1">SUMPRODUCT(O238:R238*(B239:E239-B238:E238)/B238:E238)</f>
        <v>1.2979563991604656E-2</v>
      </c>
      <c r="T239">
        <f t="shared" ca="1" si="39"/>
        <v>1879.0499579919269</v>
      </c>
    </row>
    <row r="240" spans="1:20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30"/>
        <v>316736</v>
      </c>
      <c r="K240">
        <f t="shared" ca="1" si="31"/>
        <v>2770338</v>
      </c>
      <c r="L240">
        <f t="shared" ca="1" si="32"/>
        <v>1674625</v>
      </c>
      <c r="M240">
        <f t="shared" ca="1" si="33"/>
        <v>3514770</v>
      </c>
      <c r="N240">
        <f t="shared" ca="1" si="34"/>
        <v>8276469</v>
      </c>
      <c r="O240">
        <f t="shared" ca="1" si="35"/>
        <v>3.826946008013804E-2</v>
      </c>
      <c r="P240">
        <f t="shared" ca="1" si="36"/>
        <v>0.33472462713265766</v>
      </c>
      <c r="Q240">
        <f t="shared" ca="1" si="37"/>
        <v>0.20233568204025171</v>
      </c>
      <c r="R240">
        <f t="shared" ca="1" si="38"/>
        <v>0.42467023074695259</v>
      </c>
      <c r="S240" cm="1">
        <f t="array" aca="1" ref="S240" ca="1">SUMPRODUCT(O239:R239*(B240:E240-B239:E239)/B239:E239)</f>
        <v>1.7806137628335315E-3</v>
      </c>
      <c r="T240">
        <f t="shared" ca="1" si="39"/>
        <v>1882.3958202081792</v>
      </c>
    </row>
    <row r="241" spans="1:20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30"/>
        <v>316976</v>
      </c>
      <c r="K241">
        <f t="shared" ca="1" si="31"/>
        <v>2707882</v>
      </c>
      <c r="L241">
        <f t="shared" ca="1" si="32"/>
        <v>1664999.9999999998</v>
      </c>
      <c r="M241">
        <f t="shared" ca="1" si="33"/>
        <v>3498285</v>
      </c>
      <c r="N241">
        <f t="shared" ca="1" si="34"/>
        <v>8188143</v>
      </c>
      <c r="O241">
        <f t="shared" ca="1" si="35"/>
        <v>3.8711585764928627E-2</v>
      </c>
      <c r="P241">
        <f t="shared" ca="1" si="36"/>
        <v>0.33070770747408784</v>
      </c>
      <c r="Q241">
        <f t="shared" ca="1" si="37"/>
        <v>0.20334280923037126</v>
      </c>
      <c r="R241">
        <f t="shared" ca="1" si="38"/>
        <v>0.42723789753061225</v>
      </c>
      <c r="S241" cm="1">
        <f t="array" aca="1" ref="S241" ca="1">SUMPRODUCT(O240:R240*(B241:E241-B240:E240)/B240:E240)</f>
        <v>-1.0671942346428173E-2</v>
      </c>
      <c r="T241">
        <f t="shared" ca="1" si="39"/>
        <v>1862.3070005417601</v>
      </c>
    </row>
    <row r="242" spans="1:20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30"/>
        <v>316112</v>
      </c>
      <c r="K242">
        <f t="shared" ca="1" si="31"/>
        <v>2743402</v>
      </c>
      <c r="L242">
        <f t="shared" ca="1" si="32"/>
        <v>1673000</v>
      </c>
      <c r="M242">
        <f t="shared" ca="1" si="33"/>
        <v>3516660</v>
      </c>
      <c r="N242">
        <f t="shared" ca="1" si="34"/>
        <v>8249174</v>
      </c>
      <c r="O242">
        <f t="shared" ca="1" si="35"/>
        <v>3.832044274978319E-2</v>
      </c>
      <c r="P242">
        <f t="shared" ca="1" si="36"/>
        <v>0.33256687275598745</v>
      </c>
      <c r="Q242">
        <f t="shared" ca="1" si="37"/>
        <v>0.2028081841891079</v>
      </c>
      <c r="R242">
        <f t="shared" ca="1" si="38"/>
        <v>0.42630450030512146</v>
      </c>
      <c r="S242" cm="1">
        <f t="array" aca="1" ref="S242" ca="1">SUMPRODUCT(O241:R241*(B242:E242-B241:E241)/B241:E241)</f>
        <v>7.4535825766599614E-3</v>
      </c>
      <c r="T242">
        <f t="shared" ca="1" si="39"/>
        <v>1876.1878595533901</v>
      </c>
    </row>
    <row r="243" spans="1:20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30"/>
        <v>313424</v>
      </c>
      <c r="K243">
        <f t="shared" ca="1" si="31"/>
        <v>2757610</v>
      </c>
      <c r="L243">
        <f t="shared" ca="1" si="32"/>
        <v>1714875</v>
      </c>
      <c r="M243">
        <f t="shared" ca="1" si="33"/>
        <v>3618510</v>
      </c>
      <c r="N243">
        <f t="shared" ca="1" si="34"/>
        <v>8404419</v>
      </c>
      <c r="O243">
        <f t="shared" ca="1" si="35"/>
        <v>3.729276229564471E-2</v>
      </c>
      <c r="P243">
        <f t="shared" ca="1" si="36"/>
        <v>0.32811429320694269</v>
      </c>
      <c r="Q243">
        <f t="shared" ca="1" si="37"/>
        <v>0.20404444376226363</v>
      </c>
      <c r="R243">
        <f t="shared" ca="1" si="38"/>
        <v>0.430548500735149</v>
      </c>
      <c r="S243" cm="1">
        <f t="array" aca="1" ref="S243" ca="1">SUMPRODUCT(O242:R242*(B243:E243-B242:E242)/B242:E242)</f>
        <v>1.8819459984720833E-2</v>
      </c>
      <c r="T243">
        <f t="shared" ca="1" si="39"/>
        <v>1911.4967019000744</v>
      </c>
    </row>
    <row r="244" spans="1:20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30"/>
        <v>315104</v>
      </c>
      <c r="K244">
        <f t="shared" ca="1" si="31"/>
        <v>2762124</v>
      </c>
      <c r="L244">
        <f t="shared" ca="1" si="32"/>
        <v>1726250</v>
      </c>
      <c r="M244">
        <f t="shared" ca="1" si="33"/>
        <v>3678780</v>
      </c>
      <c r="N244">
        <f t="shared" ca="1" si="34"/>
        <v>8482258</v>
      </c>
      <c r="O244">
        <f t="shared" ca="1" si="35"/>
        <v>3.7148598875440947E-2</v>
      </c>
      <c r="P244">
        <f t="shared" ca="1" si="36"/>
        <v>0.32563546168956425</v>
      </c>
      <c r="Q244">
        <f t="shared" ca="1" si="37"/>
        <v>0.20351302683790096</v>
      </c>
      <c r="R244">
        <f t="shared" ca="1" si="38"/>
        <v>0.43370291259709381</v>
      </c>
      <c r="S244" cm="1">
        <f t="array" aca="1" ref="S244" ca="1">SUMPRODUCT(O243:R243*(B244:E244-B243:E243)/B243:E243)</f>
        <v>9.2616753162830384E-3</v>
      </c>
      <c r="T244">
        <f t="shared" ca="1" si="39"/>
        <v>1929.2003637212188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4"/>
  <sheetViews>
    <sheetView workbookViewId="0">
      <selection sqref="A1:E1048576"/>
    </sheetView>
  </sheetViews>
  <sheetFormatPr baseColWidth="10" defaultRowHeight="15" x14ac:dyDescent="0.25"/>
  <cols>
    <col min="2" max="2" width="11.28515625" customWidth="1"/>
    <col min="3" max="5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</row>
    <row r="3" spans="1:5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</row>
    <row r="4" spans="1:5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</row>
    <row r="5" spans="1:5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</row>
    <row r="6" spans="1:5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</row>
    <row r="7" spans="1:5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</row>
    <row r="8" spans="1:5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</row>
    <row r="9" spans="1:5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</row>
    <row r="10" spans="1:5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</row>
    <row r="11" spans="1:5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</row>
    <row r="12" spans="1:5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</row>
    <row r="13" spans="1:5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</row>
    <row r="14" spans="1:5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</row>
    <row r="15" spans="1:5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</row>
    <row r="16" spans="1:5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</row>
    <row r="17" spans="1:5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</row>
    <row r="18" spans="1:5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</row>
    <row r="19" spans="1:5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</row>
    <row r="20" spans="1:5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</row>
    <row r="21" spans="1:5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</row>
    <row r="22" spans="1:5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</row>
    <row r="23" spans="1:5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</row>
    <row r="24" spans="1:5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</row>
    <row r="25" spans="1:5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</row>
    <row r="26" spans="1:5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</row>
    <row r="27" spans="1:5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</row>
    <row r="28" spans="1:5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</row>
    <row r="29" spans="1:5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</row>
    <row r="30" spans="1:5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</row>
    <row r="31" spans="1:5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</row>
    <row r="32" spans="1:5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</row>
    <row r="33" spans="1:5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</row>
    <row r="34" spans="1:5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</row>
    <row r="35" spans="1:5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</row>
    <row r="36" spans="1:5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</row>
    <row r="37" spans="1:5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</row>
    <row r="38" spans="1:5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</row>
    <row r="39" spans="1:5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</row>
    <row r="40" spans="1:5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</row>
    <row r="41" spans="1:5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</row>
    <row r="42" spans="1:5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</row>
    <row r="43" spans="1:5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</row>
    <row r="44" spans="1:5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</row>
    <row r="45" spans="1:5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</row>
    <row r="46" spans="1:5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</row>
    <row r="47" spans="1:5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</row>
    <row r="48" spans="1:5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</row>
    <row r="49" spans="1:5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</row>
    <row r="50" spans="1:5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</row>
    <row r="51" spans="1:5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</row>
    <row r="52" spans="1:5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</row>
    <row r="53" spans="1:5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</row>
    <row r="54" spans="1:5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</row>
    <row r="55" spans="1:5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</row>
    <row r="56" spans="1:5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</row>
    <row r="57" spans="1:5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</row>
    <row r="58" spans="1:5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</row>
    <row r="59" spans="1:5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</row>
    <row r="60" spans="1:5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</row>
    <row r="61" spans="1:5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</row>
    <row r="62" spans="1:5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</row>
    <row r="63" spans="1:5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</row>
    <row r="64" spans="1:5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</row>
    <row r="65" spans="1:5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</row>
    <row r="66" spans="1:5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</row>
    <row r="67" spans="1:5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</row>
    <row r="68" spans="1:5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</row>
    <row r="69" spans="1:5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</row>
    <row r="70" spans="1:5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</row>
    <row r="71" spans="1:5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</row>
    <row r="72" spans="1:5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</row>
    <row r="73" spans="1:5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</row>
    <row r="74" spans="1:5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</row>
    <row r="75" spans="1:5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</row>
    <row r="76" spans="1:5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</row>
    <row r="77" spans="1:5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</row>
    <row r="78" spans="1:5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</row>
    <row r="79" spans="1:5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</row>
    <row r="80" spans="1:5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</row>
    <row r="81" spans="1:5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</row>
    <row r="82" spans="1:5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</row>
    <row r="83" spans="1:5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</row>
    <row r="84" spans="1:5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</row>
    <row r="85" spans="1:5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</row>
    <row r="86" spans="1:5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</row>
    <row r="87" spans="1:5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</row>
    <row r="88" spans="1:5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</row>
    <row r="89" spans="1:5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</row>
    <row r="90" spans="1:5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</row>
    <row r="91" spans="1:5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</row>
    <row r="92" spans="1:5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</row>
    <row r="93" spans="1:5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</row>
    <row r="94" spans="1:5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</row>
    <row r="95" spans="1:5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</row>
    <row r="96" spans="1:5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</row>
    <row r="97" spans="1:5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</row>
    <row r="98" spans="1:5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</row>
    <row r="99" spans="1:5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</row>
    <row r="100" spans="1:5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</row>
    <row r="101" spans="1:5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</row>
    <row r="102" spans="1:5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</row>
    <row r="103" spans="1:5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</row>
    <row r="104" spans="1:5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</row>
    <row r="105" spans="1:5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</row>
    <row r="106" spans="1:5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</row>
    <row r="107" spans="1:5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</row>
    <row r="108" spans="1:5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</row>
    <row r="109" spans="1:5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</row>
    <row r="110" spans="1:5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</row>
    <row r="111" spans="1:5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</row>
    <row r="112" spans="1:5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</row>
    <row r="113" spans="1:5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</row>
    <row r="114" spans="1:5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</row>
    <row r="115" spans="1:5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</row>
    <row r="116" spans="1:5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</row>
    <row r="117" spans="1:5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</row>
    <row r="118" spans="1:5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</row>
    <row r="119" spans="1:5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</row>
    <row r="120" spans="1:5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</row>
    <row r="121" spans="1:5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</row>
    <row r="122" spans="1:5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</row>
    <row r="123" spans="1:5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</row>
    <row r="124" spans="1:5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</row>
    <row r="125" spans="1:5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</row>
    <row r="126" spans="1:5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</row>
    <row r="127" spans="1:5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</row>
    <row r="128" spans="1:5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</row>
    <row r="129" spans="1:5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</row>
    <row r="130" spans="1:5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</row>
    <row r="131" spans="1:5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</row>
    <row r="132" spans="1:5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</row>
    <row r="133" spans="1:5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</row>
    <row r="134" spans="1:5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</row>
    <row r="135" spans="1:5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</row>
    <row r="136" spans="1:5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</row>
    <row r="137" spans="1:5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</row>
    <row r="138" spans="1:5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</row>
    <row r="139" spans="1:5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</row>
    <row r="140" spans="1:5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</row>
    <row r="141" spans="1:5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</row>
    <row r="142" spans="1:5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</row>
    <row r="143" spans="1:5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</row>
    <row r="144" spans="1:5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</row>
    <row r="145" spans="1:5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</row>
    <row r="146" spans="1:5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</row>
    <row r="147" spans="1:5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</row>
    <row r="148" spans="1:5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</row>
    <row r="149" spans="1:5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</row>
    <row r="150" spans="1:5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</row>
    <row r="151" spans="1:5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</row>
    <row r="152" spans="1:5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</row>
    <row r="153" spans="1:5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</row>
    <row r="154" spans="1:5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</row>
    <row r="155" spans="1:5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</row>
    <row r="156" spans="1:5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</row>
    <row r="157" spans="1:5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</row>
    <row r="158" spans="1:5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</row>
    <row r="159" spans="1:5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</row>
    <row r="160" spans="1:5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</row>
    <row r="161" spans="1:5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</row>
    <row r="162" spans="1:5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</row>
    <row r="163" spans="1:5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</row>
    <row r="164" spans="1:5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</row>
    <row r="165" spans="1:5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</row>
    <row r="166" spans="1:5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</row>
    <row r="167" spans="1:5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</row>
    <row r="168" spans="1:5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</row>
    <row r="169" spans="1:5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</row>
    <row r="170" spans="1:5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</row>
    <row r="171" spans="1:5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</row>
    <row r="172" spans="1:5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</row>
    <row r="173" spans="1:5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</row>
    <row r="174" spans="1:5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</row>
    <row r="175" spans="1:5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</row>
    <row r="176" spans="1:5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</row>
    <row r="177" spans="1:5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</row>
    <row r="178" spans="1:5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</row>
    <row r="179" spans="1:5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</row>
    <row r="180" spans="1:5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</row>
    <row r="181" spans="1:5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</row>
    <row r="182" spans="1:5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</row>
    <row r="183" spans="1:5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</row>
    <row r="184" spans="1:5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</row>
    <row r="185" spans="1:5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</row>
    <row r="186" spans="1:5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</row>
    <row r="187" spans="1:5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</row>
    <row r="188" spans="1:5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</row>
    <row r="189" spans="1:5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</row>
    <row r="190" spans="1:5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</row>
    <row r="191" spans="1:5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</row>
    <row r="192" spans="1:5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</row>
    <row r="193" spans="1:5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</row>
    <row r="194" spans="1:5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</row>
    <row r="195" spans="1:5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</row>
    <row r="196" spans="1:5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</row>
    <row r="197" spans="1:5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</row>
    <row r="198" spans="1:5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</row>
    <row r="199" spans="1:5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</row>
    <row r="200" spans="1:5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</row>
    <row r="201" spans="1:5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</row>
    <row r="202" spans="1:5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</row>
    <row r="203" spans="1:5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</row>
    <row r="204" spans="1:5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</row>
    <row r="205" spans="1:5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</row>
    <row r="206" spans="1:5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</row>
    <row r="207" spans="1:5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</row>
    <row r="208" spans="1:5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</row>
    <row r="209" spans="1:5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</row>
    <row r="210" spans="1:5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</row>
    <row r="211" spans="1:5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</row>
    <row r="212" spans="1:5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</row>
    <row r="213" spans="1:5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</row>
    <row r="214" spans="1:5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</row>
    <row r="215" spans="1:5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</row>
    <row r="216" spans="1:5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</row>
    <row r="217" spans="1:5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</row>
    <row r="218" spans="1:5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</row>
    <row r="219" spans="1:5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</row>
    <row r="220" spans="1:5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</row>
    <row r="221" spans="1:5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</row>
    <row r="222" spans="1:5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</row>
    <row r="223" spans="1:5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</row>
    <row r="224" spans="1:5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</row>
    <row r="225" spans="1:5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</row>
    <row r="226" spans="1:5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</row>
    <row r="227" spans="1:5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</row>
    <row r="228" spans="1:5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</row>
    <row r="229" spans="1:5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</row>
    <row r="230" spans="1:5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</row>
    <row r="231" spans="1:5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</row>
    <row r="232" spans="1:5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</row>
    <row r="233" spans="1:5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</row>
    <row r="234" spans="1:5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</row>
    <row r="235" spans="1:5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</row>
    <row r="236" spans="1:5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</row>
    <row r="237" spans="1:5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</row>
    <row r="238" spans="1:5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</row>
    <row r="239" spans="1:5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</row>
    <row r="240" spans="1:5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</row>
    <row r="241" spans="1:5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</row>
    <row r="242" spans="1:5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</row>
    <row r="243" spans="1:5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</row>
    <row r="244" spans="1:5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2" sqref="B2:B5"/>
    </sheetView>
  </sheetViews>
  <sheetFormatPr baseColWidth="10"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</v>
      </c>
      <c r="B2">
        <v>1600</v>
      </c>
    </row>
    <row r="3" spans="1:2" x14ac:dyDescent="0.25">
      <c r="A3" t="s">
        <v>2</v>
      </c>
      <c r="B3">
        <v>7400</v>
      </c>
    </row>
    <row r="4" spans="1:2" x14ac:dyDescent="0.25">
      <c r="A4" t="s">
        <v>3</v>
      </c>
      <c r="B4">
        <v>12500</v>
      </c>
    </row>
    <row r="5" spans="1:2" x14ac:dyDescent="0.25">
      <c r="A5" t="s">
        <v>4</v>
      </c>
      <c r="B5">
        <v>10500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44"/>
  <sheetViews>
    <sheetView tabSelected="1" topLeftCell="K1" workbookViewId="0">
      <selection activeCell="N13" sqref="N13"/>
    </sheetView>
  </sheetViews>
  <sheetFormatPr baseColWidth="10" defaultRowHeight="15" x14ac:dyDescent="0.25"/>
  <cols>
    <col min="1" max="5" width="10.42578125" customWidth="1"/>
    <col min="6" max="9" width="8.42578125" customWidth="1"/>
    <col min="10" max="10" width="14.85546875" customWidth="1"/>
    <col min="11" max="11" width="11.28515625" customWidth="1"/>
    <col min="15" max="15" width="14.42578125" customWidth="1"/>
    <col min="16" max="16" width="10.28515625" customWidth="1"/>
    <col min="20" max="20" width="16.7109375" customWidth="1"/>
    <col min="23" max="23" width="13.5703125" bestFit="1" customWidth="1"/>
    <col min="24" max="24" width="12.5703125" customWidth="1"/>
    <col min="25" max="25" width="14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28</v>
      </c>
      <c r="K1" t="s">
        <v>23</v>
      </c>
      <c r="L1" t="s">
        <v>24</v>
      </c>
      <c r="M1" t="s">
        <v>25</v>
      </c>
      <c r="N1" t="s">
        <v>26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27</v>
      </c>
      <c r="V1" t="s">
        <v>35</v>
      </c>
      <c r="W1" t="s">
        <v>37</v>
      </c>
      <c r="X1" t="s">
        <v>36</v>
      </c>
      <c r="Y1" t="s">
        <v>38</v>
      </c>
    </row>
    <row r="2" spans="1:25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IF(MONTH(A3)&lt;&gt;MONTH(A2), 1, 0)</f>
        <v>0</v>
      </c>
      <c r="K2" s="1">
        <v>0.25</v>
      </c>
      <c r="L2">
        <f t="shared" ref="L2:N2" si="0">1/4</f>
        <v>0.25</v>
      </c>
      <c r="M2">
        <f t="shared" si="0"/>
        <v>0.25</v>
      </c>
      <c r="N2">
        <f t="shared" si="0"/>
        <v>0.25</v>
      </c>
      <c r="O2">
        <f>SUM(K2:N2)</f>
        <v>1</v>
      </c>
      <c r="U2">
        <v>1000</v>
      </c>
      <c r="W2" t="b">
        <f>MIN(K2:N2)&gt;=0</f>
        <v>1</v>
      </c>
      <c r="X2" t="b">
        <f>U2&gt;0</f>
        <v>1</v>
      </c>
    </row>
    <row r="3" spans="1:25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1">IF(MONTH(A4)&lt;&gt;MONTH(A3), 1, 0)</f>
        <v>0</v>
      </c>
      <c r="K3">
        <f ca="1">IF(J3=1, 1/4, K2*(B3/B2) / (K2*(B3/B2)+L2*(C3/C2)+M2*(D3/D2)+N2*(E3/E2)))</f>
        <v>0.25410412077445821</v>
      </c>
      <c r="L3">
        <f ca="1">IF(J3=1, 1/4, L2*(C3/C2) / (K2*(B3/B2)+L2*(C3/C2)+M2*(D3/D2)+N2*(E3/E2)))</f>
        <v>0.24050813422484965</v>
      </c>
      <c r="M3">
        <f ca="1">IF(J3=1, 1/4, M2*(D3/D2) / (K2*(B3/B2)+L2*(C3/C2)+M2*(D3/D2)+N2*(E3/E2)))</f>
        <v>0.24857495459222614</v>
      </c>
      <c r="N3">
        <f ca="1">IF(I3=1, 1/4, N2*(E3/E2) / (K2*(B3/B2)+L2*(C3/C2)+M2*(D3/D2)+N2*(E3/E2)))</f>
        <v>0.25681279040846594</v>
      </c>
      <c r="O3">
        <f t="shared" ref="O3:O66" ca="1" si="2">SUM(K3:N3)</f>
        <v>0.99999999999999989</v>
      </c>
      <c r="P3">
        <f ca="1">(B3-B2)/B2</f>
        <v>1.0314224034540707E-2</v>
      </c>
      <c r="Q3">
        <f ca="1">(C3-C2)/C2</f>
        <v>-4.3743217296936379E-2</v>
      </c>
      <c r="R3">
        <f ca="1">(D3-D2)/D2</f>
        <v>-1.1669658886894144E-2</v>
      </c>
      <c r="S3">
        <f ca="1">(E3-E2)/E2</f>
        <v>2.1083854417187829E-2</v>
      </c>
      <c r="T3">
        <f ca="1">SUMPRODUCT(K2:N2,P3:S3)</f>
        <v>-6.0036994330254978E-3</v>
      </c>
      <c r="U3">
        <f ca="1">U2*(1+T3)</f>
        <v>993.99630056697447</v>
      </c>
      <c r="V3">
        <f ca="1">IF(O3,SUM(ABS(K3-K2),ABS(L3-L2), ABS(M3-M2),ABS(N3-N2))/2,0)</f>
        <v>1.0916911182924177E-2</v>
      </c>
      <c r="W3" t="b">
        <f t="shared" ref="W3:W66" ca="1" si="3">MIN(K3:N3)&gt;=0</f>
        <v>1</v>
      </c>
      <c r="X3" t="b">
        <f t="shared" ref="X3:X66" ca="1" si="4">U3&gt;0</f>
        <v>1</v>
      </c>
      <c r="Y3" t="b">
        <f t="shared" ref="Y3:Y66" ca="1" si="5">V3&lt;=1</f>
        <v>1</v>
      </c>
    </row>
    <row r="4" spans="1:25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t="shared" ca="1" si="1"/>
        <v>0</v>
      </c>
      <c r="K4">
        <f t="shared" ref="K4:K67" ca="1" si="6">IF(J4=1, 1/4, K3*(B4/B3) / (K3*(B4/B3)+L3*(C4/C3)+M3*(D4/D3)+N3*(E4/E3)))</f>
        <v>0.25549621410497619</v>
      </c>
      <c r="L4">
        <f t="shared" ref="L4:L67" ca="1" si="7">IF(J4=1, 1/4, L3*(C4/C3) / (K3*(B4/B3)+L3*(C4/C3)+M3*(D4/D3)+N3*(E4/E3)))</f>
        <v>0.2371737184591477</v>
      </c>
      <c r="M4">
        <f t="shared" ref="M4:M67" ca="1" si="8">IF(J4=1, 1/4, M3*(D4/D3) / (K3*(B4/B3)+L3*(C4/C3)+M3*(D4/D3)+N3*(E4/E3)))</f>
        <v>0.24722376297144594</v>
      </c>
      <c r="N4">
        <f t="shared" ref="N4:N67" ca="1" si="9">IF(I4=1, 1/4, N3*(E4/E3) / (K3*(B4/B3)+L3*(C4/C3)+M3*(D4/D3)+N3*(E4/E3)))</f>
        <v>0.26010630446443012</v>
      </c>
      <c r="O4">
        <f t="shared" ca="1" si="2"/>
        <v>1</v>
      </c>
      <c r="P4">
        <f t="shared" ref="P4:P67" ca="1" si="10">(B4-B3)/B3</f>
        <v>-1.0604621715732853E-2</v>
      </c>
      <c r="Q4">
        <f t="shared" ref="Q4:Q67" ca="1" si="11">(C4-C3)/C3</f>
        <v>-2.9637712789175E-2</v>
      </c>
      <c r="R4">
        <f t="shared" ref="R4:R67" ca="1" si="12">(D4-D3)/D3</f>
        <v>-2.1344232515894589E-2</v>
      </c>
      <c r="S4">
        <f t="shared" ref="S4:S67" ca="1" si="13">(E4-E3)/E3</f>
        <v>-3.3759912067206311E-3</v>
      </c>
      <c r="T4">
        <f t="shared" ref="T4:T67" ca="1" si="14">SUMPRODUCT(K3:N3,P4:S4)</f>
        <v>-1.5995428433475251E-2</v>
      </c>
      <c r="U4">
        <f t="shared" ref="U4:U67" ca="1" si="15">U3*(1+T4)</f>
        <v>978.09690387811634</v>
      </c>
      <c r="V4">
        <f t="shared" ref="V4:V67" ca="1" si="16">IF(O4,SUM(ABS(K4-K3),ABS(L4-L3), ABS(M4-M3),ABS(N4-N3))/2,0)</f>
        <v>4.6856073864821601E-3</v>
      </c>
      <c r="W4" t="b">
        <f t="shared" ca="1" si="3"/>
        <v>1</v>
      </c>
      <c r="X4" t="b">
        <f t="shared" ca="1" si="4"/>
        <v>1</v>
      </c>
      <c r="Y4" t="b">
        <f t="shared" ca="1" si="5"/>
        <v>1</v>
      </c>
    </row>
    <row r="5" spans="1:25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1"/>
        <v>0</v>
      </c>
      <c r="K5">
        <f t="shared" ca="1" si="6"/>
        <v>0.25925137005316101</v>
      </c>
      <c r="L5">
        <f t="shared" ca="1" si="7"/>
        <v>0.2348545700489606</v>
      </c>
      <c r="M5">
        <f t="shared" ca="1" si="8"/>
        <v>0.24515468807710952</v>
      </c>
      <c r="N5">
        <f t="shared" ca="1" si="9"/>
        <v>0.26073937182076884</v>
      </c>
      <c r="O5">
        <f t="shared" ca="1" si="2"/>
        <v>1</v>
      </c>
      <c r="P5">
        <f t="shared" ca="1" si="10"/>
        <v>3.6794112941929358E-2</v>
      </c>
      <c r="Q5">
        <f t="shared" ca="1" si="11"/>
        <v>1.1785344788808442E-2</v>
      </c>
      <c r="R5">
        <f t="shared" ca="1" si="12"/>
        <v>1.3225058004640378E-2</v>
      </c>
      <c r="S5">
        <f t="shared" ca="1" si="13"/>
        <v>2.4263431542461106E-2</v>
      </c>
      <c r="T5">
        <f t="shared" ca="1" si="14"/>
        <v>2.1776550722456777E-2</v>
      </c>
      <c r="U5">
        <f t="shared" ca="1" si="15"/>
        <v>999.39648071689601</v>
      </c>
      <c r="V5">
        <f t="shared" ca="1" si="16"/>
        <v>4.388223304523528E-3</v>
      </c>
      <c r="W5" t="b">
        <f t="shared" ca="1" si="3"/>
        <v>1</v>
      </c>
      <c r="X5" t="b">
        <f t="shared" ca="1" si="4"/>
        <v>1</v>
      </c>
      <c r="Y5" t="b">
        <f t="shared" ca="1" si="5"/>
        <v>1</v>
      </c>
    </row>
    <row r="6" spans="1:25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1"/>
        <v>0</v>
      </c>
      <c r="K6">
        <f t="shared" ca="1" si="6"/>
        <v>0.25923496677825369</v>
      </c>
      <c r="L6">
        <f t="shared" ca="1" si="7"/>
        <v>0.2361605638664708</v>
      </c>
      <c r="M6">
        <f t="shared" ca="1" si="8"/>
        <v>0.24604171442683895</v>
      </c>
      <c r="N6">
        <f t="shared" ca="1" si="9"/>
        <v>0.2585627549284365</v>
      </c>
      <c r="O6">
        <f t="shared" ca="1" si="2"/>
        <v>1</v>
      </c>
      <c r="P6">
        <f t="shared" ca="1" si="10"/>
        <v>4.0888751735843323E-3</v>
      </c>
      <c r="Q6">
        <f t="shared" ca="1" si="11"/>
        <v>9.7363624238651914E-3</v>
      </c>
      <c r="R6">
        <f t="shared" ca="1" si="12"/>
        <v>7.7856652163956104E-3</v>
      </c>
      <c r="S6">
        <f t="shared" ca="1" si="13"/>
        <v>-4.2301184433164996E-3</v>
      </c>
      <c r="T6">
        <f t="shared" ca="1" si="14"/>
        <v>4.1524096035862844E-3</v>
      </c>
      <c r="U6">
        <f t="shared" ca="1" si="15"/>
        <v>1003.5463842612152</v>
      </c>
      <c r="V6">
        <f t="shared" ca="1" si="16"/>
        <v>2.1930201672396427E-3</v>
      </c>
      <c r="W6" t="b">
        <f t="shared" ca="1" si="3"/>
        <v>1</v>
      </c>
      <c r="X6" t="b">
        <f t="shared" ca="1" si="4"/>
        <v>1</v>
      </c>
      <c r="Y6" t="b">
        <f t="shared" ca="1" si="5"/>
        <v>1</v>
      </c>
    </row>
    <row r="7" spans="1:25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1"/>
        <v>0</v>
      </c>
      <c r="K7">
        <f t="shared" ca="1" si="6"/>
        <v>0.25753111586287752</v>
      </c>
      <c r="L7">
        <f t="shared" ca="1" si="7"/>
        <v>0.23534661405384552</v>
      </c>
      <c r="M7">
        <f t="shared" ca="1" si="8"/>
        <v>0.24444599772316503</v>
      </c>
      <c r="N7">
        <f t="shared" ca="1" si="9"/>
        <v>0.26267627236011193</v>
      </c>
      <c r="O7">
        <f t="shared" ca="1" si="2"/>
        <v>1</v>
      </c>
      <c r="P7">
        <f t="shared" ca="1" si="10"/>
        <v>4.4563964656164738E-3</v>
      </c>
      <c r="Q7">
        <f t="shared" ca="1" si="11"/>
        <v>7.6171187037688878E-3</v>
      </c>
      <c r="R7">
        <f t="shared" ca="1" si="12"/>
        <v>4.5444217223358976E-3</v>
      </c>
      <c r="S7">
        <f t="shared" ca="1" si="13"/>
        <v>2.7187765505522595E-2</v>
      </c>
      <c r="T7">
        <f t="shared" ca="1" si="14"/>
        <v>1.1101977698933046E-2</v>
      </c>
      <c r="U7">
        <f t="shared" ca="1" si="15"/>
        <v>1014.687733839128</v>
      </c>
      <c r="V7">
        <f t="shared" ca="1" si="16"/>
        <v>4.1135174316754008E-3</v>
      </c>
      <c r="W7" t="b">
        <f t="shared" ca="1" si="3"/>
        <v>1</v>
      </c>
      <c r="X7" t="b">
        <f t="shared" ca="1" si="4"/>
        <v>1</v>
      </c>
      <c r="Y7" t="b">
        <f t="shared" ca="1" si="5"/>
        <v>1</v>
      </c>
    </row>
    <row r="8" spans="1:25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1"/>
        <v>0</v>
      </c>
      <c r="K8">
        <f t="shared" ca="1" si="6"/>
        <v>0.25757802759836529</v>
      </c>
      <c r="L8">
        <f t="shared" ca="1" si="7"/>
        <v>0.23749321844190957</v>
      </c>
      <c r="M8">
        <f t="shared" ca="1" si="8"/>
        <v>0.24783010659299587</v>
      </c>
      <c r="N8">
        <f t="shared" ca="1" si="9"/>
        <v>0.25709864736672944</v>
      </c>
      <c r="O8">
        <f t="shared" ca="1" si="2"/>
        <v>1.0000000000000002</v>
      </c>
      <c r="P8">
        <f t="shared" ca="1" si="10"/>
        <v>2.1112216017746651E-2</v>
      </c>
      <c r="Q8">
        <f t="shared" ca="1" si="11"/>
        <v>3.0238147258029348E-2</v>
      </c>
      <c r="R8">
        <f t="shared" ca="1" si="12"/>
        <v>3.5059941189776005E-2</v>
      </c>
      <c r="S8">
        <f t="shared" ca="1" si="13"/>
        <v>-7.5193623580737442E-4</v>
      </c>
      <c r="T8">
        <f t="shared" ca="1" si="14"/>
        <v>2.0926244618603103E-2</v>
      </c>
      <c r="U8">
        <f t="shared" ca="1" si="15"/>
        <v>1035.9213375689417</v>
      </c>
      <c r="V8">
        <f t="shared" ca="1" si="16"/>
        <v>5.5776249933825739E-3</v>
      </c>
      <c r="W8" t="b">
        <f t="shared" ca="1" si="3"/>
        <v>1</v>
      </c>
      <c r="X8" t="b">
        <f t="shared" ca="1" si="4"/>
        <v>1</v>
      </c>
      <c r="Y8" t="b">
        <f t="shared" ca="1" si="5"/>
        <v>1</v>
      </c>
    </row>
    <row r="9" spans="1:25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1"/>
        <v>0</v>
      </c>
      <c r="K9">
        <f t="shared" ca="1" si="6"/>
        <v>0.25514268244032845</v>
      </c>
      <c r="L9">
        <f t="shared" ca="1" si="7"/>
        <v>0.23812440873947271</v>
      </c>
      <c r="M9">
        <f t="shared" ca="1" si="8"/>
        <v>0.24458739709019423</v>
      </c>
      <c r="N9">
        <f t="shared" ca="1" si="9"/>
        <v>0.2621455117300045</v>
      </c>
      <c r="O9">
        <f t="shared" ca="1" si="2"/>
        <v>0.99999999999999978</v>
      </c>
      <c r="P9">
        <f t="shared" ca="1" si="10"/>
        <v>-5.9929582740289534E-4</v>
      </c>
      <c r="Q9">
        <f t="shared" ca="1" si="11"/>
        <v>1.1621495525299999E-2</v>
      </c>
      <c r="R9">
        <f t="shared" ca="1" si="12"/>
        <v>-4.261363636363643E-3</v>
      </c>
      <c r="S9">
        <f t="shared" ca="1" si="13"/>
        <v>2.8745579050342553E-2</v>
      </c>
      <c r="T9">
        <f t="shared" ca="1" si="14"/>
        <v>8.9400162256263269E-3</v>
      </c>
      <c r="U9">
        <f t="shared" ca="1" si="15"/>
        <v>1045.1824911352805</v>
      </c>
      <c r="V9">
        <f t="shared" ca="1" si="16"/>
        <v>5.6780546608383442E-3</v>
      </c>
      <c r="W9" t="b">
        <f t="shared" ca="1" si="3"/>
        <v>1</v>
      </c>
      <c r="X9" t="b">
        <f t="shared" ca="1" si="4"/>
        <v>1</v>
      </c>
      <c r="Y9" t="b">
        <f t="shared" ca="1" si="5"/>
        <v>1</v>
      </c>
    </row>
    <row r="10" spans="1:25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1"/>
        <v>0</v>
      </c>
      <c r="K10">
        <f t="shared" ca="1" si="6"/>
        <v>0.25606635876911116</v>
      </c>
      <c r="L10">
        <f t="shared" ca="1" si="7"/>
        <v>0.23730656508580056</v>
      </c>
      <c r="M10">
        <f t="shared" ca="1" si="8"/>
        <v>0.24565376510949663</v>
      </c>
      <c r="N10">
        <f t="shared" ca="1" si="9"/>
        <v>0.26097331103559168</v>
      </c>
      <c r="O10">
        <f t="shared" ca="1" si="2"/>
        <v>1</v>
      </c>
      <c r="P10">
        <f t="shared" ca="1" si="10"/>
        <v>1.0119181470654331E-2</v>
      </c>
      <c r="Q10">
        <f t="shared" ca="1" si="11"/>
        <v>3.018741352563829E-3</v>
      </c>
      <c r="R10">
        <f t="shared" ca="1" si="12"/>
        <v>1.0863601448480293E-2</v>
      </c>
      <c r="S10">
        <f t="shared" ca="1" si="13"/>
        <v>1.9749835418036853E-3</v>
      </c>
      <c r="T10">
        <f t="shared" ca="1" si="14"/>
        <v>6.4755041767733945E-3</v>
      </c>
      <c r="U10">
        <f t="shared" ca="1" si="15"/>
        <v>1051.9505747221176</v>
      </c>
      <c r="V10">
        <f t="shared" ca="1" si="16"/>
        <v>1.9900443480850433E-3</v>
      </c>
      <c r="W10" t="b">
        <f t="shared" ca="1" si="3"/>
        <v>1</v>
      </c>
      <c r="X10" t="b">
        <f t="shared" ca="1" si="4"/>
        <v>1</v>
      </c>
      <c r="Y10" t="b">
        <f t="shared" ca="1" si="5"/>
        <v>1</v>
      </c>
    </row>
    <row r="11" spans="1:25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1"/>
        <v>0</v>
      </c>
      <c r="K11">
        <f t="shared" ca="1" si="6"/>
        <v>0.25881234798088965</v>
      </c>
      <c r="L11">
        <f t="shared" ca="1" si="7"/>
        <v>0.23888255909268619</v>
      </c>
      <c r="M11">
        <f t="shared" ca="1" si="8"/>
        <v>0.24391522318929423</v>
      </c>
      <c r="N11">
        <f t="shared" ca="1" si="9"/>
        <v>0.25838986973712996</v>
      </c>
      <c r="O11">
        <f t="shared" ca="1" si="2"/>
        <v>1</v>
      </c>
      <c r="P11">
        <f t="shared" ca="1" si="10"/>
        <v>8.7563075096468313E-3</v>
      </c>
      <c r="Q11">
        <f t="shared" ca="1" si="11"/>
        <v>4.6816870793796959E-3</v>
      </c>
      <c r="R11">
        <f t="shared" ca="1" si="12"/>
        <v>-9.0099869735127906E-3</v>
      </c>
      <c r="S11">
        <f t="shared" ca="1" si="13"/>
        <v>-1.1826544021024794E-2</v>
      </c>
      <c r="T11">
        <f t="shared" ca="1" si="14"/>
        <v>-1.9465587150338994E-3</v>
      </c>
      <c r="U11">
        <f t="shared" ca="1" si="15"/>
        <v>1049.9028911631074</v>
      </c>
      <c r="V11">
        <f t="shared" ca="1" si="16"/>
        <v>4.3219832186641161E-3</v>
      </c>
      <c r="W11" t="b">
        <f t="shared" ca="1" si="3"/>
        <v>1</v>
      </c>
      <c r="X11" t="b">
        <f t="shared" ca="1" si="4"/>
        <v>1</v>
      </c>
      <c r="Y11" t="b">
        <f t="shared" ca="1" si="5"/>
        <v>1</v>
      </c>
    </row>
    <row r="12" spans="1:25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1"/>
        <v>0</v>
      </c>
      <c r="K12">
        <f t="shared" ca="1" si="6"/>
        <v>0.26023913446871999</v>
      </c>
      <c r="L12">
        <f t="shared" ca="1" si="7"/>
        <v>0.23693466242947761</v>
      </c>
      <c r="M12">
        <f t="shared" ca="1" si="8"/>
        <v>0.246124856620901</v>
      </c>
      <c r="N12">
        <f t="shared" ca="1" si="9"/>
        <v>0.25670134648090132</v>
      </c>
      <c r="O12">
        <f t="shared" ca="1" si="2"/>
        <v>1</v>
      </c>
      <c r="P12">
        <f t="shared" ca="1" si="10"/>
        <v>-5.3700161836103414E-3</v>
      </c>
      <c r="Q12">
        <f t="shared" ca="1" si="11"/>
        <v>-1.8889120033284759E-2</v>
      </c>
      <c r="R12">
        <f t="shared" ca="1" si="12"/>
        <v>-1.8621973929236685E-3</v>
      </c>
      <c r="S12">
        <f t="shared" ca="1" si="13"/>
        <v>-1.7287234042553216E-2</v>
      </c>
      <c r="T12">
        <f t="shared" ca="1" si="14"/>
        <v>-1.0823172274823659E-2</v>
      </c>
      <c r="U12">
        <f t="shared" ca="1" si="15"/>
        <v>1038.5396113002137</v>
      </c>
      <c r="V12">
        <f t="shared" ca="1" si="16"/>
        <v>3.6364199194371671E-3</v>
      </c>
      <c r="W12" t="b">
        <f t="shared" ca="1" si="3"/>
        <v>1</v>
      </c>
      <c r="X12" t="b">
        <f t="shared" ca="1" si="4"/>
        <v>1</v>
      </c>
      <c r="Y12" t="b">
        <f t="shared" ca="1" si="5"/>
        <v>1</v>
      </c>
    </row>
    <row r="13" spans="1:25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1"/>
        <v>0</v>
      </c>
      <c r="K13">
        <f t="shared" ca="1" si="6"/>
        <v>0.25842409255331467</v>
      </c>
      <c r="L13">
        <f t="shared" ca="1" si="7"/>
        <v>0.2313081990172538</v>
      </c>
      <c r="M13">
        <f t="shared" ca="1" si="8"/>
        <v>0.24947432681660969</v>
      </c>
      <c r="N13">
        <f t="shared" ca="1" si="9"/>
        <v>0.26079338161282195</v>
      </c>
      <c r="O13">
        <f t="shared" ca="1" si="2"/>
        <v>1</v>
      </c>
      <c r="P13">
        <f t="shared" ca="1" si="10"/>
        <v>4.437541601952686E-4</v>
      </c>
      <c r="Q13">
        <f t="shared" ca="1" si="11"/>
        <v>-1.6453924769941883E-2</v>
      </c>
      <c r="R13">
        <f t="shared" ca="1" si="12"/>
        <v>2.1180860403862956E-2</v>
      </c>
      <c r="S13">
        <f t="shared" ca="1" si="13"/>
        <v>2.3530296196060705E-2</v>
      </c>
      <c r="T13">
        <f t="shared" ca="1" si="14"/>
        <v>7.4703720341912135E-3</v>
      </c>
      <c r="U13">
        <f t="shared" ca="1" si="15"/>
        <v>1046.2978885688708</v>
      </c>
      <c r="V13">
        <f t="shared" ca="1" si="16"/>
        <v>7.4415053276292303E-3</v>
      </c>
      <c r="W13" t="b">
        <f t="shared" ca="1" si="3"/>
        <v>1</v>
      </c>
      <c r="X13" t="b">
        <f t="shared" ca="1" si="4"/>
        <v>1</v>
      </c>
      <c r="Y13" t="b">
        <f t="shared" ca="1" si="5"/>
        <v>1</v>
      </c>
    </row>
    <row r="14" spans="1:25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1"/>
        <v>0</v>
      </c>
      <c r="K14">
        <f t="shared" ca="1" si="6"/>
        <v>0.25504419982529086</v>
      </c>
      <c r="L14">
        <f t="shared" ca="1" si="7"/>
        <v>0.23198367689658822</v>
      </c>
      <c r="M14">
        <f t="shared" ca="1" si="8"/>
        <v>0.25447102898106932</v>
      </c>
      <c r="N14">
        <f t="shared" ca="1" si="9"/>
        <v>0.2585010942970517</v>
      </c>
      <c r="O14">
        <f t="shared" ca="1" si="2"/>
        <v>1</v>
      </c>
      <c r="P14">
        <f t="shared" ca="1" si="10"/>
        <v>1.9220817624011195E-2</v>
      </c>
      <c r="Q14">
        <f t="shared" ca="1" si="11"/>
        <v>3.5743543310481574E-2</v>
      </c>
      <c r="R14">
        <f t="shared" ca="1" si="12"/>
        <v>5.341214400859752E-2</v>
      </c>
      <c r="S14">
        <f t="shared" ca="1" si="13"/>
        <v>2.3650385604113103E-2</v>
      </c>
      <c r="T14">
        <f t="shared" ca="1" si="14"/>
        <v>3.2727719690781094E-2</v>
      </c>
      <c r="U14">
        <f t="shared" ca="1" si="15"/>
        <v>1080.540832579009</v>
      </c>
      <c r="V14">
        <f t="shared" ca="1" si="16"/>
        <v>5.6721800437940506E-3</v>
      </c>
      <c r="W14" t="b">
        <f t="shared" ca="1" si="3"/>
        <v>1</v>
      </c>
      <c r="X14" t="b">
        <f t="shared" ca="1" si="4"/>
        <v>1</v>
      </c>
      <c r="Y14" t="b">
        <f t="shared" ca="1" si="5"/>
        <v>1</v>
      </c>
    </row>
    <row r="15" spans="1:25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1"/>
        <v>0</v>
      </c>
      <c r="K15">
        <f t="shared" ca="1" si="6"/>
        <v>0.25589398776740913</v>
      </c>
      <c r="L15">
        <f t="shared" ca="1" si="7"/>
        <v>0.22964652145476896</v>
      </c>
      <c r="M15">
        <f t="shared" ca="1" si="8"/>
        <v>0.25396115001851116</v>
      </c>
      <c r="N15">
        <f t="shared" ca="1" si="9"/>
        <v>0.26049834075931072</v>
      </c>
      <c r="O15">
        <f t="shared" ca="1" si="2"/>
        <v>1</v>
      </c>
      <c r="P15">
        <f t="shared" ca="1" si="10"/>
        <v>2.3500398926525053E-2</v>
      </c>
      <c r="Q15">
        <f t="shared" ca="1" si="11"/>
        <v>9.8243276996087484E-3</v>
      </c>
      <c r="R15">
        <f t="shared" ca="1" si="12"/>
        <v>1.8057539277698535E-2</v>
      </c>
      <c r="S15">
        <f t="shared" ca="1" si="13"/>
        <v>2.7983066657099848E-2</v>
      </c>
      <c r="T15">
        <f t="shared" ca="1" si="14"/>
        <v>2.0101498056092616E-2</v>
      </c>
      <c r="U15">
        <f t="shared" ca="1" si="15"/>
        <v>1102.2613220246246</v>
      </c>
      <c r="V15">
        <f t="shared" ca="1" si="16"/>
        <v>2.8470344043773493E-3</v>
      </c>
      <c r="W15" t="b">
        <f t="shared" ca="1" si="3"/>
        <v>1</v>
      </c>
      <c r="X15" t="b">
        <f t="shared" ca="1" si="4"/>
        <v>1</v>
      </c>
      <c r="Y15" t="b">
        <f t="shared" ca="1" si="5"/>
        <v>1</v>
      </c>
    </row>
    <row r="16" spans="1:25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1"/>
        <v>0</v>
      </c>
      <c r="K16">
        <f t="shared" ca="1" si="6"/>
        <v>0.25937466295428102</v>
      </c>
      <c r="L16">
        <f t="shared" ca="1" si="7"/>
        <v>0.22993813159562107</v>
      </c>
      <c r="M16">
        <f t="shared" ca="1" si="8"/>
        <v>0.24951335756530243</v>
      </c>
      <c r="N16">
        <f t="shared" ca="1" si="9"/>
        <v>0.26117384788479553</v>
      </c>
      <c r="O16">
        <f t="shared" ca="1" si="2"/>
        <v>1</v>
      </c>
      <c r="P16">
        <f t="shared" ca="1" si="10"/>
        <v>1.0063071362766546E-2</v>
      </c>
      <c r="Q16">
        <f t="shared" ca="1" si="11"/>
        <v>-2.2260697501855901E-3</v>
      </c>
      <c r="R16">
        <f t="shared" ca="1" si="12"/>
        <v>-2.0943982362962254E-2</v>
      </c>
      <c r="S16">
        <f t="shared" ca="1" si="13"/>
        <v>-9.0737767850927525E-4</v>
      </c>
      <c r="T16">
        <f t="shared" ca="1" si="14"/>
        <v>-3.49145794099847E-3</v>
      </c>
      <c r="U16">
        <f t="shared" ca="1" si="15"/>
        <v>1098.4128229787864</v>
      </c>
      <c r="V16">
        <f t="shared" ca="1" si="16"/>
        <v>4.4477924532087681E-3</v>
      </c>
      <c r="W16" t="b">
        <f t="shared" ca="1" si="3"/>
        <v>1</v>
      </c>
      <c r="X16" t="b">
        <f t="shared" ca="1" si="4"/>
        <v>1</v>
      </c>
      <c r="Y16" t="b">
        <f t="shared" ca="1" si="5"/>
        <v>1</v>
      </c>
    </row>
    <row r="17" spans="1:25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1"/>
        <v>0</v>
      </c>
      <c r="K17">
        <f t="shared" ca="1" si="6"/>
        <v>0.26126543296939198</v>
      </c>
      <c r="L17">
        <f t="shared" ca="1" si="7"/>
        <v>0.23133335720298565</v>
      </c>
      <c r="M17">
        <f t="shared" ca="1" si="8"/>
        <v>0.24610936922467602</v>
      </c>
      <c r="N17">
        <f t="shared" ca="1" si="9"/>
        <v>0.26129184060294636</v>
      </c>
      <c r="O17">
        <f t="shared" ca="1" si="2"/>
        <v>1</v>
      </c>
      <c r="P17">
        <f t="shared" ca="1" si="10"/>
        <v>-4.700764751280344E-3</v>
      </c>
      <c r="Q17">
        <f t="shared" ca="1" si="11"/>
        <v>-5.908114361262512E-3</v>
      </c>
      <c r="R17">
        <f t="shared" ca="1" si="12"/>
        <v>-2.5383828045035865E-2</v>
      </c>
      <c r="S17">
        <f t="shared" ca="1" si="13"/>
        <v>-1.145731451725574E-2</v>
      </c>
      <c r="T17">
        <f t="shared" ca="1" si="14"/>
        <v>-1.1903715132747857E-2</v>
      </c>
      <c r="U17">
        <f t="shared" ca="1" si="15"/>
        <v>1085.3376296358895</v>
      </c>
      <c r="V17">
        <f t="shared" ca="1" si="16"/>
        <v>3.4039883406263849E-3</v>
      </c>
      <c r="W17" t="b">
        <f t="shared" ca="1" si="3"/>
        <v>1</v>
      </c>
      <c r="X17" t="b">
        <f t="shared" ca="1" si="4"/>
        <v>1</v>
      </c>
      <c r="Y17" t="b">
        <f t="shared" ca="1" si="5"/>
        <v>1</v>
      </c>
    </row>
    <row r="18" spans="1:25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1"/>
        <v>0</v>
      </c>
      <c r="K18">
        <f t="shared" ca="1" si="6"/>
        <v>0.25800498631841851</v>
      </c>
      <c r="L18">
        <f t="shared" ca="1" si="7"/>
        <v>0.23202807209648063</v>
      </c>
      <c r="M18">
        <f t="shared" ca="1" si="8"/>
        <v>0.24527762147519261</v>
      </c>
      <c r="N18">
        <f t="shared" ca="1" si="9"/>
        <v>0.26468932010990825</v>
      </c>
      <c r="O18">
        <f t="shared" ca="1" si="2"/>
        <v>1</v>
      </c>
      <c r="P18">
        <f t="shared" ca="1" si="10"/>
        <v>1.4803327224023643E-2</v>
      </c>
      <c r="Q18">
        <f t="shared" ca="1" si="11"/>
        <v>3.0713602925896619E-2</v>
      </c>
      <c r="R18">
        <f t="shared" ca="1" si="12"/>
        <v>2.4154589371980648E-2</v>
      </c>
      <c r="S18">
        <f t="shared" ca="1" si="13"/>
        <v>4.0989399293286301E-2</v>
      </c>
      <c r="T18">
        <f t="shared" ca="1" si="14"/>
        <v>2.7627544913990339E-2</v>
      </c>
      <c r="U18">
        <f t="shared" ca="1" si="15"/>
        <v>1115.3228437454989</v>
      </c>
      <c r="V18">
        <f t="shared" ca="1" si="16"/>
        <v>4.0921944004568833E-3</v>
      </c>
      <c r="W18" t="b">
        <f t="shared" ca="1" si="3"/>
        <v>1</v>
      </c>
      <c r="X18" t="b">
        <f t="shared" ca="1" si="4"/>
        <v>1</v>
      </c>
      <c r="Y18" t="b">
        <f t="shared" ca="1" si="5"/>
        <v>1</v>
      </c>
    </row>
    <row r="19" spans="1:25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1"/>
        <v>0</v>
      </c>
      <c r="K19">
        <f t="shared" ca="1" si="6"/>
        <v>0.25733797954898552</v>
      </c>
      <c r="L19">
        <f t="shared" ca="1" si="7"/>
        <v>0.22845132122903655</v>
      </c>
      <c r="M19">
        <f t="shared" ca="1" si="8"/>
        <v>0.24591927296097774</v>
      </c>
      <c r="N19">
        <f t="shared" ca="1" si="9"/>
        <v>0.26829142626100022</v>
      </c>
      <c r="O19">
        <f t="shared" ca="1" si="2"/>
        <v>1</v>
      </c>
      <c r="P19">
        <f t="shared" ca="1" si="10"/>
        <v>1.368435676576826E-2</v>
      </c>
      <c r="Q19">
        <f t="shared" ca="1" si="11"/>
        <v>6.4516129032256688E-4</v>
      </c>
      <c r="R19">
        <f t="shared" ca="1" si="12"/>
        <v>1.8970467596390574E-2</v>
      </c>
      <c r="S19">
        <f t="shared" ca="1" si="13"/>
        <v>3.0142566191446011E-2</v>
      </c>
      <c r="T19">
        <f t="shared" ca="1" si="14"/>
        <v>1.6311774332409865E-2</v>
      </c>
      <c r="U19">
        <f t="shared" ca="1" si="15"/>
        <v>1133.5157382804571</v>
      </c>
      <c r="V19">
        <f t="shared" ca="1" si="16"/>
        <v>4.2437576368770796E-3</v>
      </c>
      <c r="W19" t="b">
        <f t="shared" ca="1" si="3"/>
        <v>1</v>
      </c>
      <c r="X19" t="b">
        <f t="shared" ca="1" si="4"/>
        <v>1</v>
      </c>
      <c r="Y19" t="b">
        <f t="shared" ca="1" si="5"/>
        <v>1</v>
      </c>
    </row>
    <row r="20" spans="1:25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1"/>
        <v>0</v>
      </c>
      <c r="K20">
        <f t="shared" ca="1" si="6"/>
        <v>0.25849717829785324</v>
      </c>
      <c r="L20">
        <f t="shared" ca="1" si="7"/>
        <v>0.22903931114865125</v>
      </c>
      <c r="M20">
        <f t="shared" ca="1" si="8"/>
        <v>0.245923910887554</v>
      </c>
      <c r="N20">
        <f t="shared" ca="1" si="9"/>
        <v>0.26653959966594154</v>
      </c>
      <c r="O20">
        <f t="shared" ca="1" si="2"/>
        <v>1</v>
      </c>
      <c r="P20">
        <f t="shared" ca="1" si="10"/>
        <v>-2.0078119646405858E-2</v>
      </c>
      <c r="Q20">
        <f t="shared" ca="1" si="11"/>
        <v>-2.1961637653126968E-2</v>
      </c>
      <c r="R20">
        <f t="shared" ca="1" si="12"/>
        <v>-2.4454060581664553E-2</v>
      </c>
      <c r="S20">
        <f t="shared" ca="1" si="13"/>
        <v>-3.0842230130486401E-2</v>
      </c>
      <c r="T20">
        <f t="shared" ca="1" si="14"/>
        <v>-2.447245859112393E-2</v>
      </c>
      <c r="U20">
        <f t="shared" ca="1" si="15"/>
        <v>1105.7758213130014</v>
      </c>
      <c r="V20">
        <f t="shared" ca="1" si="16"/>
        <v>1.7518265950586809E-3</v>
      </c>
      <c r="W20" t="b">
        <f t="shared" ca="1" si="3"/>
        <v>1</v>
      </c>
      <c r="X20" t="b">
        <f t="shared" ca="1" si="4"/>
        <v>1</v>
      </c>
      <c r="Y20" t="b">
        <f t="shared" ca="1" si="5"/>
        <v>1</v>
      </c>
    </row>
    <row r="21" spans="1:25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1"/>
        <v>1</v>
      </c>
      <c r="K21">
        <f t="shared" ca="1" si="6"/>
        <v>0.25</v>
      </c>
      <c r="L21">
        <f t="shared" ca="1" si="7"/>
        <v>0.25</v>
      </c>
      <c r="M21">
        <f t="shared" ca="1" si="8"/>
        <v>0.25</v>
      </c>
      <c r="N21">
        <f t="shared" ca="1" si="9"/>
        <v>0.26589949622639303</v>
      </c>
      <c r="O21">
        <f t="shared" ca="1" si="2"/>
        <v>1.015899496226393</v>
      </c>
      <c r="P21">
        <f t="shared" ca="1" si="10"/>
        <v>9.0209790209789652E-3</v>
      </c>
      <c r="Q21">
        <f t="shared" ca="1" si="11"/>
        <v>2.1012731243047235E-2</v>
      </c>
      <c r="R21">
        <f t="shared" ca="1" si="12"/>
        <v>1.9599752424179964E-2</v>
      </c>
      <c r="S21">
        <f t="shared" ca="1" si="13"/>
        <v>1.2987896096831202E-2</v>
      </c>
      <c r="T21">
        <f t="shared" ca="1" si="14"/>
        <v>1.5426475506400861E-2</v>
      </c>
      <c r="U21">
        <f t="shared" ca="1" si="15"/>
        <v>1122.8340449360567</v>
      </c>
      <c r="V21">
        <f t="shared" ca="1" si="16"/>
        <v>1.7087029850598248E-2</v>
      </c>
      <c r="W21" t="b">
        <f t="shared" ca="1" si="3"/>
        <v>1</v>
      </c>
      <c r="X21" t="b">
        <f t="shared" ca="1" si="4"/>
        <v>1</v>
      </c>
      <c r="Y21" t="b">
        <f t="shared" ca="1" si="5"/>
        <v>1</v>
      </c>
    </row>
    <row r="22" spans="1:25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1"/>
        <v>0</v>
      </c>
      <c r="K22">
        <f t="shared" ca="1" si="6"/>
        <v>0.24362202073091788</v>
      </c>
      <c r="L22">
        <f t="shared" ca="1" si="7"/>
        <v>0.24653075571968527</v>
      </c>
      <c r="M22">
        <f t="shared" ca="1" si="8"/>
        <v>0.24560064125524636</v>
      </c>
      <c r="N22">
        <f t="shared" ca="1" si="9"/>
        <v>0.26424658229415038</v>
      </c>
      <c r="O22">
        <f t="shared" ca="1" si="2"/>
        <v>1</v>
      </c>
      <c r="P22">
        <f t="shared" ca="1" si="10"/>
        <v>7.9007554231063475E-3</v>
      </c>
      <c r="Q22">
        <f t="shared" ca="1" si="11"/>
        <v>1.9934627335458609E-2</v>
      </c>
      <c r="R22">
        <f t="shared" ca="1" si="12"/>
        <v>1.6086604613516828E-2</v>
      </c>
      <c r="S22">
        <f t="shared" ca="1" si="13"/>
        <v>2.7857957978116438E-2</v>
      </c>
      <c r="T22">
        <f t="shared" ca="1" si="14"/>
        <v>1.8387913835297635E-2</v>
      </c>
      <c r="U22">
        <f t="shared" ca="1" si="15"/>
        <v>1143.4806206056796</v>
      </c>
      <c r="V22">
        <f t="shared" ca="1" si="16"/>
        <v>7.9497481131965697E-3</v>
      </c>
      <c r="W22" t="b">
        <f t="shared" ca="1" si="3"/>
        <v>1</v>
      </c>
      <c r="X22" t="b">
        <f t="shared" ca="1" si="4"/>
        <v>1</v>
      </c>
      <c r="Y22" t="b">
        <f t="shared" ca="1" si="5"/>
        <v>1</v>
      </c>
    </row>
    <row r="23" spans="1:25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1"/>
        <v>0</v>
      </c>
      <c r="K23">
        <f t="shared" ca="1" si="6"/>
        <v>0.22968565513703598</v>
      </c>
      <c r="L23">
        <f t="shared" ca="1" si="7"/>
        <v>0.23462926578438809</v>
      </c>
      <c r="M23">
        <f t="shared" ca="1" si="8"/>
        <v>0.23952751225872071</v>
      </c>
      <c r="N23">
        <f t="shared" ca="1" si="9"/>
        <v>0.29615756681985522</v>
      </c>
      <c r="O23">
        <f t="shared" ca="1" si="2"/>
        <v>1</v>
      </c>
      <c r="P23">
        <f t="shared" ca="1" si="10"/>
        <v>3.7062504297600121E-2</v>
      </c>
      <c r="Q23">
        <f t="shared" ca="1" si="11"/>
        <v>4.6884272997032732E-2</v>
      </c>
      <c r="R23">
        <f t="shared" ca="1" si="12"/>
        <v>7.2787015831922611E-2</v>
      </c>
      <c r="S23">
        <f t="shared" ca="1" si="13"/>
        <v>0.23282392894461862</v>
      </c>
      <c r="T23">
        <f t="shared" ca="1" si="14"/>
        <v>9.9987122706943737E-2</v>
      </c>
      <c r="U23">
        <f t="shared" ca="1" si="15"/>
        <v>1257.813957731192</v>
      </c>
      <c r="V23">
        <f t="shared" ca="1" si="16"/>
        <v>3.1910984525704789E-2</v>
      </c>
      <c r="W23" t="b">
        <f t="shared" ca="1" si="3"/>
        <v>1</v>
      </c>
      <c r="X23" t="b">
        <f t="shared" ca="1" si="4"/>
        <v>1</v>
      </c>
      <c r="Y23" t="b">
        <f t="shared" ca="1" si="5"/>
        <v>1</v>
      </c>
    </row>
    <row r="24" spans="1:25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1"/>
        <v>0</v>
      </c>
      <c r="K24">
        <f t="shared" ca="1" si="6"/>
        <v>0.23767449445509711</v>
      </c>
      <c r="L24">
        <f t="shared" ca="1" si="7"/>
        <v>0.23140885136717051</v>
      </c>
      <c r="M24">
        <f t="shared" ca="1" si="8"/>
        <v>0.23530761708964068</v>
      </c>
      <c r="N24">
        <f t="shared" ca="1" si="9"/>
        <v>0.29560903708809172</v>
      </c>
      <c r="O24">
        <f t="shared" ca="1" si="2"/>
        <v>1</v>
      </c>
      <c r="P24">
        <f t="shared" ca="1" si="10"/>
        <v>2.4399946956637098E-2</v>
      </c>
      <c r="Q24">
        <f t="shared" ca="1" si="11"/>
        <v>-2.3620559334845047E-2</v>
      </c>
      <c r="R24">
        <f t="shared" ca="1" si="12"/>
        <v>-2.7473547428995673E-2</v>
      </c>
      <c r="S24">
        <f t="shared" ca="1" si="13"/>
        <v>-1.1866292313397303E-2</v>
      </c>
      <c r="T24">
        <f t="shared" ca="1" si="14"/>
        <v>-1.0032719419405351E-2</v>
      </c>
      <c r="U24">
        <f t="shared" ca="1" si="15"/>
        <v>1245.1946632114632</v>
      </c>
      <c r="V24">
        <f t="shared" ca="1" si="16"/>
        <v>7.9888393180611167E-3</v>
      </c>
      <c r="W24" t="b">
        <f t="shared" ca="1" si="3"/>
        <v>1</v>
      </c>
      <c r="X24" t="b">
        <f t="shared" ca="1" si="4"/>
        <v>1</v>
      </c>
      <c r="Y24" t="b">
        <f t="shared" ca="1" si="5"/>
        <v>1</v>
      </c>
    </row>
    <row r="25" spans="1:25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1"/>
        <v>0</v>
      </c>
      <c r="K25">
        <f t="shared" ca="1" si="6"/>
        <v>0.23592428207887384</v>
      </c>
      <c r="L25">
        <f t="shared" ca="1" si="7"/>
        <v>0.23246783508225216</v>
      </c>
      <c r="M25">
        <f t="shared" ca="1" si="8"/>
        <v>0.23357161078351613</v>
      </c>
      <c r="N25">
        <f t="shared" ca="1" si="9"/>
        <v>0.29803627205535799</v>
      </c>
      <c r="O25">
        <f t="shared" ca="1" si="2"/>
        <v>1</v>
      </c>
      <c r="P25">
        <f t="shared" ca="1" si="10"/>
        <v>-1.7928802588996831E-2</v>
      </c>
      <c r="Q25">
        <f t="shared" ca="1" si="11"/>
        <v>-6.1157344687441098E-3</v>
      </c>
      <c r="R25">
        <f t="shared" ca="1" si="12"/>
        <v>-1.7942355411337998E-2</v>
      </c>
      <c r="S25">
        <f t="shared" ca="1" si="13"/>
        <v>-2.5197019246233788E-3</v>
      </c>
      <c r="T25">
        <f t="shared" ca="1" si="14"/>
        <v>-1.0643273736708038E-2</v>
      </c>
      <c r="U25">
        <f t="shared" ca="1" si="15"/>
        <v>1231.9417155554156</v>
      </c>
      <c r="V25">
        <f t="shared" ca="1" si="16"/>
        <v>3.4862186823478719E-3</v>
      </c>
      <c r="W25" t="b">
        <f t="shared" ca="1" si="3"/>
        <v>1</v>
      </c>
      <c r="X25" t="b">
        <f t="shared" ca="1" si="4"/>
        <v>1</v>
      </c>
      <c r="Y25" t="b">
        <f t="shared" ca="1" si="5"/>
        <v>1</v>
      </c>
    </row>
    <row r="26" spans="1:25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1"/>
        <v>0</v>
      </c>
      <c r="K26">
        <f t="shared" ca="1" si="6"/>
        <v>0.23256335044302551</v>
      </c>
      <c r="L26">
        <f t="shared" ca="1" si="7"/>
        <v>0.23427715647594974</v>
      </c>
      <c r="M26">
        <f t="shared" ca="1" si="8"/>
        <v>0.23630262002861102</v>
      </c>
      <c r="N26">
        <f t="shared" ca="1" si="9"/>
        <v>0.29685687305241376</v>
      </c>
      <c r="O26">
        <f t="shared" ca="1" si="2"/>
        <v>1</v>
      </c>
      <c r="P26">
        <f t="shared" ca="1" si="10"/>
        <v>1.9244710999802385E-2</v>
      </c>
      <c r="Q26">
        <f t="shared" ca="1" si="11"/>
        <v>4.2022043073567869E-2</v>
      </c>
      <c r="R26">
        <f t="shared" ca="1" si="12"/>
        <v>4.606413994169091E-2</v>
      </c>
      <c r="S26">
        <f t="shared" ca="1" si="13"/>
        <v>2.9882833494571655E-2</v>
      </c>
      <c r="T26">
        <f t="shared" ca="1" si="14"/>
        <v>3.397451166420043E-2</v>
      </c>
      <c r="U26">
        <f t="shared" ca="1" si="15"/>
        <v>1273.7963337401682</v>
      </c>
      <c r="V26">
        <f t="shared" ca="1" si="16"/>
        <v>4.5403306387925141E-3</v>
      </c>
      <c r="W26" t="b">
        <f t="shared" ca="1" si="3"/>
        <v>1</v>
      </c>
      <c r="X26" t="b">
        <f t="shared" ca="1" si="4"/>
        <v>1</v>
      </c>
      <c r="Y26" t="b">
        <f t="shared" ca="1" si="5"/>
        <v>1</v>
      </c>
    </row>
    <row r="27" spans="1:25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1"/>
        <v>0</v>
      </c>
      <c r="K27">
        <f t="shared" ca="1" si="6"/>
        <v>0.23690977345182873</v>
      </c>
      <c r="L27">
        <f t="shared" ca="1" si="7"/>
        <v>0.24219060739872803</v>
      </c>
      <c r="M27">
        <f t="shared" ca="1" si="8"/>
        <v>0.22621781964317406</v>
      </c>
      <c r="N27">
        <f t="shared" ca="1" si="9"/>
        <v>0.29468179950626927</v>
      </c>
      <c r="O27">
        <f t="shared" ca="1" si="2"/>
        <v>1</v>
      </c>
      <c r="P27">
        <f t="shared" ca="1" si="10"/>
        <v>-1.7652764306498661E-2</v>
      </c>
      <c r="Q27">
        <f t="shared" ca="1" si="11"/>
        <v>-3.1021079384062791E-3</v>
      </c>
      <c r="R27">
        <f t="shared" ca="1" si="12"/>
        <v>-7.6830174656261574E-2</v>
      </c>
      <c r="S27">
        <f t="shared" ca="1" si="13"/>
        <v>-4.2740841248303921E-2</v>
      </c>
      <c r="T27">
        <f t="shared" ca="1" si="14"/>
        <v>-3.5675223091723197E-2</v>
      </c>
      <c r="U27">
        <f t="shared" ca="1" si="15"/>
        <v>1228.3533653605684</v>
      </c>
      <c r="V27">
        <f t="shared" ca="1" si="16"/>
        <v>1.2259873931581483E-2</v>
      </c>
      <c r="W27" t="b">
        <f t="shared" ca="1" si="3"/>
        <v>1</v>
      </c>
      <c r="X27" t="b">
        <f t="shared" ca="1" si="4"/>
        <v>1</v>
      </c>
      <c r="Y27" t="b">
        <f t="shared" ca="1" si="5"/>
        <v>1</v>
      </c>
    </row>
    <row r="28" spans="1:25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1"/>
        <v>0</v>
      </c>
      <c r="K28">
        <f t="shared" ca="1" si="6"/>
        <v>0.24086988505115259</v>
      </c>
      <c r="L28">
        <f t="shared" ca="1" si="7"/>
        <v>0.24506166306987207</v>
      </c>
      <c r="M28">
        <f t="shared" ca="1" si="8"/>
        <v>0.2214381425175013</v>
      </c>
      <c r="N28">
        <f t="shared" ca="1" si="9"/>
        <v>0.29263030936147399</v>
      </c>
      <c r="O28">
        <f t="shared" ca="1" si="2"/>
        <v>1</v>
      </c>
      <c r="P28">
        <f t="shared" ca="1" si="10"/>
        <v>-6.9115323854659228E-3</v>
      </c>
      <c r="Q28">
        <f t="shared" ca="1" si="11"/>
        <v>-1.1659730813931742E-2</v>
      </c>
      <c r="R28">
        <f t="shared" ca="1" si="12"/>
        <v>-4.3876421455167548E-2</v>
      </c>
      <c r="S28">
        <f t="shared" ca="1" si="13"/>
        <v>-3.0038706863653813E-2</v>
      </c>
      <c r="T28">
        <f t="shared" ca="1" si="14"/>
        <v>-2.3238775448333318E-2</v>
      </c>
      <c r="U28">
        <f t="shared" ca="1" si="15"/>
        <v>1199.8079373317496</v>
      </c>
      <c r="V28">
        <f t="shared" ca="1" si="16"/>
        <v>6.8311672704679666E-3</v>
      </c>
      <c r="W28" t="b">
        <f t="shared" ca="1" si="3"/>
        <v>1</v>
      </c>
      <c r="X28" t="b">
        <f t="shared" ca="1" si="4"/>
        <v>1</v>
      </c>
      <c r="Y28" t="b">
        <f t="shared" ca="1" si="5"/>
        <v>1</v>
      </c>
    </row>
    <row r="29" spans="1:25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1"/>
        <v>0</v>
      </c>
      <c r="K29">
        <f t="shared" ca="1" si="6"/>
        <v>0.24291184072885103</v>
      </c>
      <c r="L29">
        <f t="shared" ca="1" si="7"/>
        <v>0.24642299476665874</v>
      </c>
      <c r="M29">
        <f t="shared" ca="1" si="8"/>
        <v>0.22207509836427533</v>
      </c>
      <c r="N29">
        <f t="shared" ca="1" si="9"/>
        <v>0.28859006614021482</v>
      </c>
      <c r="O29">
        <f t="shared" ca="1" si="2"/>
        <v>1</v>
      </c>
      <c r="P29">
        <f t="shared" ca="1" si="10"/>
        <v>9.2795121627882514E-4</v>
      </c>
      <c r="Q29">
        <f t="shared" ca="1" si="11"/>
        <v>-1.9725362263863962E-3</v>
      </c>
      <c r="R29">
        <f t="shared" ca="1" si="12"/>
        <v>-4.6310914640565401E-3</v>
      </c>
      <c r="S29">
        <f t="shared" ca="1" si="13"/>
        <v>-2.1189298561150979E-2</v>
      </c>
      <c r="T29">
        <f t="shared" ca="1" si="14"/>
        <v>-7.4860087900372446E-3</v>
      </c>
      <c r="U29">
        <f t="shared" ca="1" si="15"/>
        <v>1190.8261645665277</v>
      </c>
      <c r="V29">
        <f t="shared" ca="1" si="16"/>
        <v>4.0402432212591627E-3</v>
      </c>
      <c r="W29" t="b">
        <f t="shared" ca="1" si="3"/>
        <v>1</v>
      </c>
      <c r="X29" t="b">
        <f t="shared" ca="1" si="4"/>
        <v>1</v>
      </c>
      <c r="Y29" t="b">
        <f t="shared" ca="1" si="5"/>
        <v>1</v>
      </c>
    </row>
    <row r="30" spans="1:25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1"/>
        <v>0</v>
      </c>
      <c r="K30">
        <f t="shared" ca="1" si="6"/>
        <v>0.24236368684768198</v>
      </c>
      <c r="L30">
        <f t="shared" ca="1" si="7"/>
        <v>0.24886811819562454</v>
      </c>
      <c r="M30">
        <f t="shared" ca="1" si="8"/>
        <v>0.21757579995958293</v>
      </c>
      <c r="N30">
        <f t="shared" ca="1" si="9"/>
        <v>0.29119239499711064</v>
      </c>
      <c r="O30">
        <f t="shared" ca="1" si="2"/>
        <v>1.0000000000000002</v>
      </c>
      <c r="P30">
        <f t="shared" ca="1" si="10"/>
        <v>1.8806701542944199E-2</v>
      </c>
      <c r="Q30">
        <f t="shared" ca="1" si="11"/>
        <v>3.1242873432154959E-2</v>
      </c>
      <c r="R30">
        <f t="shared" ca="1" si="12"/>
        <v>4.2296711430692878E-4</v>
      </c>
      <c r="S30">
        <f t="shared" ca="1" si="13"/>
        <v>3.0318690783807067E-2</v>
      </c>
      <c r="T30">
        <f t="shared" ca="1" si="14"/>
        <v>2.1110936368200169E-2</v>
      </c>
      <c r="U30">
        <f t="shared" ca="1" si="15"/>
        <v>1215.9656199522797</v>
      </c>
      <c r="V30">
        <f t="shared" ca="1" si="16"/>
        <v>5.0474522858615367E-3</v>
      </c>
      <c r="W30" t="b">
        <f t="shared" ca="1" si="3"/>
        <v>1</v>
      </c>
      <c r="X30" t="b">
        <f t="shared" ca="1" si="4"/>
        <v>1</v>
      </c>
      <c r="Y30" t="b">
        <f t="shared" ca="1" si="5"/>
        <v>1</v>
      </c>
    </row>
    <row r="31" spans="1:25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1"/>
        <v>0</v>
      </c>
      <c r="K31">
        <f t="shared" ca="1" si="6"/>
        <v>0.24134025086849303</v>
      </c>
      <c r="L31">
        <f t="shared" ca="1" si="7"/>
        <v>0.24964832329170297</v>
      </c>
      <c r="M31">
        <f t="shared" ca="1" si="8"/>
        <v>0.21773725348884612</v>
      </c>
      <c r="N31">
        <f t="shared" ca="1" si="9"/>
        <v>0.29127417235095793</v>
      </c>
      <c r="O31">
        <f t="shared" ca="1" si="2"/>
        <v>1</v>
      </c>
      <c r="P31">
        <f t="shared" ca="1" si="10"/>
        <v>-4.2248943776405957E-3</v>
      </c>
      <c r="Q31">
        <f t="shared" ca="1" si="11"/>
        <v>3.1328320802005852E-3</v>
      </c>
      <c r="R31">
        <f t="shared" ca="1" si="12"/>
        <v>7.3987950533778023E-4</v>
      </c>
      <c r="S31">
        <f t="shared" ca="1" si="13"/>
        <v>2.7866020174989101E-4</v>
      </c>
      <c r="T31">
        <f t="shared" ca="1" si="14"/>
        <v>-2.1753466991171271E-6</v>
      </c>
      <c r="U31">
        <f t="shared" ca="1" si="15"/>
        <v>1215.962974805482</v>
      </c>
      <c r="V31">
        <f t="shared" ca="1" si="16"/>
        <v>1.0234359791889275E-3</v>
      </c>
      <c r="W31" t="b">
        <f t="shared" ca="1" si="3"/>
        <v>1</v>
      </c>
      <c r="X31" t="b">
        <f t="shared" ca="1" si="4"/>
        <v>1</v>
      </c>
      <c r="Y31" t="b">
        <f t="shared" ca="1" si="5"/>
        <v>1</v>
      </c>
    </row>
    <row r="32" spans="1:25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1"/>
        <v>0</v>
      </c>
      <c r="K32">
        <f t="shared" ca="1" si="6"/>
        <v>0.24416499073164918</v>
      </c>
      <c r="L32">
        <f t="shared" ca="1" si="7"/>
        <v>0.24649837613721506</v>
      </c>
      <c r="M32">
        <f t="shared" ca="1" si="8"/>
        <v>0.22245110283330921</v>
      </c>
      <c r="N32">
        <f t="shared" ca="1" si="9"/>
        <v>0.28688553029782649</v>
      </c>
      <c r="O32">
        <f t="shared" ca="1" si="2"/>
        <v>0.99999999999999989</v>
      </c>
      <c r="P32">
        <f t="shared" ca="1" si="10"/>
        <v>1.3903394255874831E-2</v>
      </c>
      <c r="Q32">
        <f t="shared" ca="1" si="11"/>
        <v>-1.0471396553624656E-2</v>
      </c>
      <c r="R32">
        <f t="shared" ca="1" si="12"/>
        <v>2.3869877482044683E-2</v>
      </c>
      <c r="S32">
        <f t="shared" ca="1" si="13"/>
        <v>-1.2926231334967647E-2</v>
      </c>
      <c r="T32">
        <f t="shared" ca="1" si="14"/>
        <v>2.1735662958474286E-3</v>
      </c>
      <c r="U32">
        <f t="shared" ca="1" si="15"/>
        <v>1218.6059509445176</v>
      </c>
      <c r="V32">
        <f t="shared" ca="1" si="16"/>
        <v>7.5385892076192951E-3</v>
      </c>
      <c r="W32" t="b">
        <f t="shared" ca="1" si="3"/>
        <v>1</v>
      </c>
      <c r="X32" t="b">
        <f t="shared" ca="1" si="4"/>
        <v>1</v>
      </c>
      <c r="Y32" t="b">
        <f t="shared" ca="1" si="5"/>
        <v>1</v>
      </c>
    </row>
    <row r="33" spans="1:25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1"/>
        <v>0</v>
      </c>
      <c r="K33">
        <f t="shared" ca="1" si="6"/>
        <v>0.24655797779276056</v>
      </c>
      <c r="L33">
        <f t="shared" ca="1" si="7"/>
        <v>0.24484103382834385</v>
      </c>
      <c r="M33">
        <f t="shared" ca="1" si="8"/>
        <v>0.22365019367511174</v>
      </c>
      <c r="N33">
        <f t="shared" ca="1" si="9"/>
        <v>0.28495079470378382</v>
      </c>
      <c r="O33">
        <f t="shared" ca="1" si="2"/>
        <v>1</v>
      </c>
      <c r="P33">
        <f t="shared" ca="1" si="10"/>
        <v>-1.0429408356402527E-2</v>
      </c>
      <c r="Q33">
        <f t="shared" ca="1" si="11"/>
        <v>-2.662260507945944E-2</v>
      </c>
      <c r="R33">
        <f t="shared" ca="1" si="12"/>
        <v>-1.4751392613987958E-2</v>
      </c>
      <c r="S33">
        <f t="shared" ca="1" si="13"/>
        <v>-2.6642582975841041E-2</v>
      </c>
      <c r="T33">
        <f t="shared" ca="1" si="14"/>
        <v>-2.0033760416143485E-2</v>
      </c>
      <c r="U33">
        <f t="shared" ca="1" si="15"/>
        <v>1194.1926912816084</v>
      </c>
      <c r="V33">
        <f t="shared" ca="1" si="16"/>
        <v>3.5920779029138955E-3</v>
      </c>
      <c r="W33" t="b">
        <f t="shared" ca="1" si="3"/>
        <v>1</v>
      </c>
      <c r="X33" t="b">
        <f t="shared" ca="1" si="4"/>
        <v>1</v>
      </c>
      <c r="Y33" t="b">
        <f t="shared" ca="1" si="5"/>
        <v>1</v>
      </c>
    </row>
    <row r="34" spans="1:25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1"/>
        <v>0</v>
      </c>
      <c r="K34">
        <f t="shared" ca="1" si="6"/>
        <v>0.24658858484093779</v>
      </c>
      <c r="L34">
        <f t="shared" ca="1" si="7"/>
        <v>0.24288397110421733</v>
      </c>
      <c r="M34">
        <f t="shared" ca="1" si="8"/>
        <v>0.22264151954524625</v>
      </c>
      <c r="N34">
        <f t="shared" ca="1" si="9"/>
        <v>0.28788592450959855</v>
      </c>
      <c r="O34">
        <f t="shared" ca="1" si="2"/>
        <v>1</v>
      </c>
      <c r="P34">
        <f t="shared" ca="1" si="10"/>
        <v>-7.5466788107474893E-3</v>
      </c>
      <c r="Q34">
        <f t="shared" ca="1" si="11"/>
        <v>-1.5601754720579727E-2</v>
      </c>
      <c r="R34">
        <f t="shared" ca="1" si="12"/>
        <v>-1.2145325096848609E-2</v>
      </c>
      <c r="S34">
        <f t="shared" ca="1" si="13"/>
        <v>2.5516121549524341E-3</v>
      </c>
      <c r="T34">
        <f t="shared" ca="1" si="14"/>
        <v>-7.6698640207802163E-3</v>
      </c>
      <c r="U34">
        <f t="shared" ca="1" si="15"/>
        <v>1185.033395724869</v>
      </c>
      <c r="V34">
        <f t="shared" ca="1" si="16"/>
        <v>2.9657368539919848E-3</v>
      </c>
      <c r="W34" t="b">
        <f t="shared" ca="1" si="3"/>
        <v>1</v>
      </c>
      <c r="X34" t="b">
        <f t="shared" ca="1" si="4"/>
        <v>1</v>
      </c>
      <c r="Y34" t="b">
        <f t="shared" ca="1" si="5"/>
        <v>1</v>
      </c>
    </row>
    <row r="35" spans="1:25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1"/>
        <v>0</v>
      </c>
      <c r="K35">
        <f t="shared" ca="1" si="6"/>
        <v>0.24466441566138811</v>
      </c>
      <c r="L35">
        <f t="shared" ca="1" si="7"/>
        <v>0.24242306440996297</v>
      </c>
      <c r="M35">
        <f t="shared" ca="1" si="8"/>
        <v>0.2208013463517457</v>
      </c>
      <c r="N35">
        <f t="shared" ca="1" si="9"/>
        <v>0.29211117357690319</v>
      </c>
      <c r="O35">
        <f t="shared" ca="1" si="2"/>
        <v>0.99999999999999989</v>
      </c>
      <c r="P35">
        <f t="shared" ca="1" si="10"/>
        <v>-2.6679777122255138E-2</v>
      </c>
      <c r="Q35">
        <f t="shared" ca="1" si="11"/>
        <v>-2.0886615515771582E-2</v>
      </c>
      <c r="R35">
        <f t="shared" ca="1" si="12"/>
        <v>-2.7133015368309362E-2</v>
      </c>
      <c r="S35">
        <f t="shared" ca="1" si="13"/>
        <v>-4.6274872744098972E-3</v>
      </c>
      <c r="T35">
        <f t="shared" ca="1" si="14"/>
        <v>-1.9025076827440895E-2</v>
      </c>
      <c r="U35">
        <f t="shared" ca="1" si="15"/>
        <v>1162.4880443281202</v>
      </c>
      <c r="V35">
        <f t="shared" ca="1" si="16"/>
        <v>4.2252490673046206E-3</v>
      </c>
      <c r="W35" t="b">
        <f t="shared" ca="1" si="3"/>
        <v>1</v>
      </c>
      <c r="X35" t="b">
        <f t="shared" ca="1" si="4"/>
        <v>1</v>
      </c>
      <c r="Y35" t="b">
        <f t="shared" ca="1" si="5"/>
        <v>1</v>
      </c>
    </row>
    <row r="36" spans="1:25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1"/>
        <v>0</v>
      </c>
      <c r="K36">
        <f t="shared" ca="1" si="6"/>
        <v>0.24595608114382195</v>
      </c>
      <c r="L36">
        <f t="shared" ca="1" si="7"/>
        <v>0.24188356679720491</v>
      </c>
      <c r="M36">
        <f t="shared" ca="1" si="8"/>
        <v>0.2209884964565787</v>
      </c>
      <c r="N36">
        <f t="shared" ca="1" si="9"/>
        <v>0.29117185560239434</v>
      </c>
      <c r="O36">
        <f t="shared" ca="1" si="2"/>
        <v>0.99999999999999989</v>
      </c>
      <c r="P36">
        <f t="shared" ca="1" si="10"/>
        <v>2.8960129310345289E-3</v>
      </c>
      <c r="Q36">
        <f t="shared" ca="1" si="11"/>
        <v>-4.590968456880503E-3</v>
      </c>
      <c r="R36">
        <f t="shared" ca="1" si="12"/>
        <v>-1.5252206122671377E-3</v>
      </c>
      <c r="S36">
        <f t="shared" ca="1" si="13"/>
        <v>-5.5788005578801016E-3</v>
      </c>
      <c r="T36">
        <f t="shared" ca="1" si="14"/>
        <v>-2.3708060731929201E-3</v>
      </c>
      <c r="U36">
        <f t="shared" ca="1" si="15"/>
        <v>1159.7320106126128</v>
      </c>
      <c r="V36">
        <f t="shared" ca="1" si="16"/>
        <v>1.4788155872668823E-3</v>
      </c>
      <c r="W36" t="b">
        <f t="shared" ca="1" si="3"/>
        <v>1</v>
      </c>
      <c r="X36" t="b">
        <f t="shared" ca="1" si="4"/>
        <v>1</v>
      </c>
      <c r="Y36" t="b">
        <f t="shared" ca="1" si="5"/>
        <v>1</v>
      </c>
    </row>
    <row r="37" spans="1:25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1"/>
        <v>0</v>
      </c>
      <c r="K37">
        <f t="shared" ca="1" si="6"/>
        <v>0.2458612704250126</v>
      </c>
      <c r="L37">
        <f t="shared" ca="1" si="7"/>
        <v>0.24412104295289877</v>
      </c>
      <c r="M37">
        <f t="shared" ca="1" si="8"/>
        <v>0.21835298031989178</v>
      </c>
      <c r="N37">
        <f t="shared" ca="1" si="9"/>
        <v>0.29166470630219682</v>
      </c>
      <c r="O37">
        <f t="shared" ca="1" si="2"/>
        <v>1</v>
      </c>
      <c r="P37">
        <f t="shared" ca="1" si="10"/>
        <v>3.2905782015983419E-3</v>
      </c>
      <c r="Q37">
        <f t="shared" ca="1" si="11"/>
        <v>1.2961711263965725E-2</v>
      </c>
      <c r="R37">
        <f t="shared" ca="1" si="12"/>
        <v>-8.2924168030551557E-3</v>
      </c>
      <c r="S37">
        <f t="shared" ca="1" si="13"/>
        <v>5.3763440860214321E-3</v>
      </c>
      <c r="T37">
        <f t="shared" ca="1" si="14"/>
        <v>3.6774740340713417E-3</v>
      </c>
      <c r="U37">
        <f t="shared" ca="1" si="15"/>
        <v>1163.996894968122</v>
      </c>
      <c r="V37">
        <f t="shared" ca="1" si="16"/>
        <v>2.7303268554963039E-3</v>
      </c>
      <c r="W37" t="b">
        <f t="shared" ca="1" si="3"/>
        <v>1</v>
      </c>
      <c r="X37" t="b">
        <f t="shared" ca="1" si="4"/>
        <v>1</v>
      </c>
      <c r="Y37" t="b">
        <f t="shared" ca="1" si="5"/>
        <v>1</v>
      </c>
    </row>
    <row r="38" spans="1:25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1"/>
        <v>0</v>
      </c>
      <c r="K38">
        <f t="shared" ca="1" si="6"/>
        <v>0.24555244812528013</v>
      </c>
      <c r="L38">
        <f t="shared" ca="1" si="7"/>
        <v>0.24287613808356395</v>
      </c>
      <c r="M38">
        <f t="shared" ca="1" si="8"/>
        <v>0.21777697171697896</v>
      </c>
      <c r="N38">
        <f t="shared" ca="1" si="9"/>
        <v>0.29379444207417693</v>
      </c>
      <c r="O38">
        <f t="shared" ca="1" si="2"/>
        <v>1</v>
      </c>
      <c r="P38">
        <f t="shared" ca="1" si="10"/>
        <v>-1.8005354752342689E-2</v>
      </c>
      <c r="Q38">
        <f t="shared" ca="1" si="11"/>
        <v>-2.1784354515837857E-2</v>
      </c>
      <c r="R38">
        <f t="shared" ca="1" si="12"/>
        <v>-1.9364066453955386E-2</v>
      </c>
      <c r="S38">
        <f t="shared" ca="1" si="13"/>
        <v>-9.5907928388747135E-3</v>
      </c>
      <c r="T38">
        <f t="shared" ca="1" si="14"/>
        <v>-1.6770336136215244E-2</v>
      </c>
      <c r="U38">
        <f t="shared" ca="1" si="15"/>
        <v>1144.4762757779956</v>
      </c>
      <c r="V38">
        <f t="shared" ca="1" si="16"/>
        <v>2.1297357719801124E-3</v>
      </c>
      <c r="W38" t="b">
        <f t="shared" ca="1" si="3"/>
        <v>1</v>
      </c>
      <c r="X38" t="b">
        <f t="shared" ca="1" si="4"/>
        <v>1</v>
      </c>
      <c r="Y38" t="b">
        <f t="shared" ca="1" si="5"/>
        <v>1</v>
      </c>
    </row>
    <row r="39" spans="1:25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1"/>
        <v>0</v>
      </c>
      <c r="K39">
        <f t="shared" ca="1" si="6"/>
        <v>0.24676733259995814</v>
      </c>
      <c r="L39">
        <f t="shared" ca="1" si="7"/>
        <v>0.24299427546036997</v>
      </c>
      <c r="M39">
        <f t="shared" ca="1" si="8"/>
        <v>0.21886635583104797</v>
      </c>
      <c r="N39">
        <f t="shared" ca="1" si="9"/>
        <v>0.29137203610862394</v>
      </c>
      <c r="O39">
        <f t="shared" ca="1" si="2"/>
        <v>1</v>
      </c>
      <c r="P39">
        <f t="shared" ca="1" si="10"/>
        <v>8.2475632199576002E-3</v>
      </c>
      <c r="Q39">
        <f t="shared" ca="1" si="11"/>
        <v>3.7717679158975914E-3</v>
      </c>
      <c r="R39">
        <f t="shared" ca="1" si="12"/>
        <v>8.302479524290465E-3</v>
      </c>
      <c r="S39">
        <f t="shared" ca="1" si="13"/>
        <v>-4.9885556664123155E-3</v>
      </c>
      <c r="T39">
        <f t="shared" ca="1" si="14"/>
        <v>3.283760684661928E-3</v>
      </c>
      <c r="U39">
        <f t="shared" ca="1" si="15"/>
        <v>1148.2344619769235</v>
      </c>
      <c r="V39">
        <f t="shared" ca="1" si="16"/>
        <v>2.422405965553015E-3</v>
      </c>
      <c r="W39" t="b">
        <f t="shared" ca="1" si="3"/>
        <v>1</v>
      </c>
      <c r="X39" t="b">
        <f t="shared" ca="1" si="4"/>
        <v>1</v>
      </c>
      <c r="Y39" t="b">
        <f t="shared" ca="1" si="5"/>
        <v>1</v>
      </c>
    </row>
    <row r="40" spans="1:25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1"/>
        <v>1</v>
      </c>
      <c r="K40">
        <f t="shared" ca="1" si="6"/>
        <v>0.25</v>
      </c>
      <c r="L40">
        <f t="shared" ca="1" si="7"/>
        <v>0.25</v>
      </c>
      <c r="M40">
        <f t="shared" ca="1" si="8"/>
        <v>0.25</v>
      </c>
      <c r="N40">
        <f t="shared" ca="1" si="9"/>
        <v>0.29821501408630824</v>
      </c>
      <c r="O40">
        <f t="shared" ca="1" si="2"/>
        <v>1.0482150140863082</v>
      </c>
      <c r="P40">
        <f t="shared" ca="1" si="10"/>
        <v>-3.4478096268252497E-3</v>
      </c>
      <c r="Q40">
        <f t="shared" ca="1" si="11"/>
        <v>-2.9581068116405866E-3</v>
      </c>
      <c r="R40">
        <f t="shared" ca="1" si="12"/>
        <v>2.1141649048625538E-3</v>
      </c>
      <c r="S40">
        <f t="shared" ca="1" si="13"/>
        <v>3.1850890645275486E-2</v>
      </c>
      <c r="T40">
        <f t="shared" ca="1" si="14"/>
        <v>8.1735686211870887E-3</v>
      </c>
      <c r="U40">
        <f t="shared" ca="1" si="15"/>
        <v>1157.6196351451038</v>
      </c>
      <c r="V40">
        <f t="shared" ca="1" si="16"/>
        <v>2.4107507043154106E-2</v>
      </c>
      <c r="W40" t="b">
        <f t="shared" ca="1" si="3"/>
        <v>1</v>
      </c>
      <c r="X40" t="b">
        <f t="shared" ca="1" si="4"/>
        <v>1</v>
      </c>
      <c r="Y40" t="b">
        <f t="shared" ca="1" si="5"/>
        <v>1</v>
      </c>
    </row>
    <row r="41" spans="1:25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1"/>
        <v>0</v>
      </c>
      <c r="K41">
        <f t="shared" ca="1" si="6"/>
        <v>0.23701984045927366</v>
      </c>
      <c r="L41">
        <f t="shared" ca="1" si="7"/>
        <v>0.2374085635845665</v>
      </c>
      <c r="M41">
        <f t="shared" ca="1" si="8"/>
        <v>0.24124616846972938</v>
      </c>
      <c r="N41">
        <f t="shared" ca="1" si="9"/>
        <v>0.28432542748643053</v>
      </c>
      <c r="O41">
        <f t="shared" ca="1" si="2"/>
        <v>1</v>
      </c>
      <c r="P41">
        <f t="shared" ca="1" si="10"/>
        <v>-1.4245980598331147E-2</v>
      </c>
      <c r="Q41">
        <f t="shared" ca="1" si="11"/>
        <v>-1.26292999759441E-2</v>
      </c>
      <c r="R41">
        <f t="shared" ca="1" si="12"/>
        <v>3.3311125916055647E-3</v>
      </c>
      <c r="S41">
        <f t="shared" ca="1" si="13"/>
        <v>-8.6886932662627765E-3</v>
      </c>
      <c r="T41">
        <f t="shared" ca="1" si="14"/>
        <v>-8.4771407804575868E-3</v>
      </c>
      <c r="U41">
        <f t="shared" ca="1" si="15"/>
        <v>1147.8063305277567</v>
      </c>
      <c r="V41">
        <f t="shared" ca="1" si="16"/>
        <v>2.4107507043154092E-2</v>
      </c>
      <c r="W41" t="b">
        <f t="shared" ca="1" si="3"/>
        <v>1</v>
      </c>
      <c r="X41" t="b">
        <f t="shared" ca="1" si="4"/>
        <v>1</v>
      </c>
      <c r="Y41" t="b">
        <f t="shared" ca="1" si="5"/>
        <v>1</v>
      </c>
    </row>
    <row r="42" spans="1:25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1"/>
        <v>0</v>
      </c>
      <c r="K42">
        <f t="shared" ca="1" si="6"/>
        <v>0.2352129128278283</v>
      </c>
      <c r="L42">
        <f t="shared" ca="1" si="7"/>
        <v>0.23924109530355475</v>
      </c>
      <c r="M42">
        <f t="shared" ca="1" si="8"/>
        <v>0.24274982953706239</v>
      </c>
      <c r="N42">
        <f t="shared" ca="1" si="9"/>
        <v>0.28279616233155441</v>
      </c>
      <c r="O42">
        <f t="shared" ca="1" si="2"/>
        <v>0.99999999999999978</v>
      </c>
      <c r="P42">
        <f t="shared" ca="1" si="10"/>
        <v>4.1291032964007593E-3</v>
      </c>
      <c r="Q42">
        <f t="shared" ca="1" si="11"/>
        <v>1.965322613391807E-2</v>
      </c>
      <c r="R42">
        <f t="shared" ca="1" si="12"/>
        <v>1.8149623727312977E-2</v>
      </c>
      <c r="S42">
        <f t="shared" ca="1" si="13"/>
        <v>6.4006458309307677E-3</v>
      </c>
      <c r="T42">
        <f t="shared" ca="1" si="14"/>
        <v>1.1842917136259096E-2</v>
      </c>
      <c r="U42">
        <f t="shared" ca="1" si="15"/>
        <v>1161.3997057886704</v>
      </c>
      <c r="V42">
        <f t="shared" ca="1" si="16"/>
        <v>3.3361927863213708E-3</v>
      </c>
      <c r="W42" t="b">
        <f t="shared" ca="1" si="3"/>
        <v>1</v>
      </c>
      <c r="X42" t="b">
        <f t="shared" ca="1" si="4"/>
        <v>1</v>
      </c>
      <c r="Y42" t="b">
        <f t="shared" ca="1" si="5"/>
        <v>1</v>
      </c>
    </row>
    <row r="43" spans="1:25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1"/>
        <v>0</v>
      </c>
      <c r="K43">
        <f t="shared" ca="1" si="6"/>
        <v>0.23547007462979772</v>
      </c>
      <c r="L43">
        <f t="shared" ca="1" si="7"/>
        <v>0.23523501837973576</v>
      </c>
      <c r="M43">
        <f t="shared" ca="1" si="8"/>
        <v>0.2389875539957893</v>
      </c>
      <c r="N43">
        <f t="shared" ca="1" si="9"/>
        <v>0.29030735299467725</v>
      </c>
      <c r="O43">
        <f t="shared" ca="1" si="2"/>
        <v>1</v>
      </c>
      <c r="P43">
        <f t="shared" ca="1" si="10"/>
        <v>3.5090124049071379E-2</v>
      </c>
      <c r="Q43">
        <f t="shared" ca="1" si="11"/>
        <v>1.6646091354386439E-2</v>
      </c>
      <c r="R43">
        <f t="shared" ca="1" si="12"/>
        <v>1.7934782608695715E-2</v>
      </c>
      <c r="S43">
        <f t="shared" ca="1" si="13"/>
        <v>6.1422105082220818E-2</v>
      </c>
      <c r="T43">
        <f t="shared" ca="1" si="14"/>
        <v>3.3959680437841019E-2</v>
      </c>
      <c r="U43">
        <f t="shared" ca="1" si="15"/>
        <v>1200.8404686578563</v>
      </c>
      <c r="V43">
        <f t="shared" ca="1" si="16"/>
        <v>7.7683524650921654E-3</v>
      </c>
      <c r="W43" t="b">
        <f t="shared" ca="1" si="3"/>
        <v>1</v>
      </c>
      <c r="X43" t="b">
        <f t="shared" ca="1" si="4"/>
        <v>1</v>
      </c>
      <c r="Y43" t="b">
        <f t="shared" ca="1" si="5"/>
        <v>1</v>
      </c>
    </row>
    <row r="44" spans="1:25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1"/>
        <v>0</v>
      </c>
      <c r="K44">
        <f t="shared" ca="1" si="6"/>
        <v>0.23768456565345036</v>
      </c>
      <c r="L44">
        <f t="shared" ca="1" si="7"/>
        <v>0.23456812596923804</v>
      </c>
      <c r="M44">
        <f t="shared" ca="1" si="8"/>
        <v>0.24058715771893271</v>
      </c>
      <c r="N44">
        <f t="shared" ca="1" si="9"/>
        <v>0.28716015065837885</v>
      </c>
      <c r="O44">
        <f t="shared" ca="1" si="2"/>
        <v>1</v>
      </c>
      <c r="P44">
        <f t="shared" ca="1" si="10"/>
        <v>1.8539363040455614E-2</v>
      </c>
      <c r="Q44">
        <f t="shared" ca="1" si="11"/>
        <v>6.1890399153903897E-3</v>
      </c>
      <c r="R44">
        <f t="shared" ca="1" si="12"/>
        <v>1.580352375867581E-2</v>
      </c>
      <c r="S44">
        <f t="shared" ca="1" si="13"/>
        <v>-1.8893387314439639E-3</v>
      </c>
      <c r="T44">
        <f t="shared" ca="1" si="14"/>
        <v>9.0497006785392291E-3</v>
      </c>
      <c r="U44">
        <f t="shared" ca="1" si="15"/>
        <v>1211.7077154618867</v>
      </c>
      <c r="V44">
        <f t="shared" ca="1" si="16"/>
        <v>3.8140947467960873E-3</v>
      </c>
      <c r="W44" t="b">
        <f t="shared" ca="1" si="3"/>
        <v>1</v>
      </c>
      <c r="X44" t="b">
        <f t="shared" ca="1" si="4"/>
        <v>1</v>
      </c>
      <c r="Y44" t="b">
        <f t="shared" ca="1" si="5"/>
        <v>1</v>
      </c>
    </row>
    <row r="45" spans="1:25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1"/>
        <v>0</v>
      </c>
      <c r="K45">
        <f t="shared" ca="1" si="6"/>
        <v>0.23654456883319303</v>
      </c>
      <c r="L45">
        <f t="shared" ca="1" si="7"/>
        <v>0.23436867510793397</v>
      </c>
      <c r="M45">
        <f t="shared" ca="1" si="8"/>
        <v>0.23971175584900697</v>
      </c>
      <c r="N45">
        <f t="shared" ca="1" si="9"/>
        <v>0.28937500020986612</v>
      </c>
      <c r="O45">
        <f t="shared" ca="1" si="2"/>
        <v>1</v>
      </c>
      <c r="P45">
        <f t="shared" ca="1" si="10"/>
        <v>-1.4496522134824273E-2</v>
      </c>
      <c r="Q45">
        <f t="shared" ca="1" si="11"/>
        <v>-1.0589013898080736E-2</v>
      </c>
      <c r="R45">
        <f t="shared" ca="1" si="12"/>
        <v>-1.3350152423000064E-2</v>
      </c>
      <c r="S45">
        <f t="shared" ca="1" si="13"/>
        <v>-2.1092482422932113E-3</v>
      </c>
      <c r="T45">
        <f t="shared" ca="1" si="14"/>
        <v>-9.7470119826332975E-3</v>
      </c>
      <c r="U45">
        <f t="shared" ca="1" si="15"/>
        <v>1199.8971858398304</v>
      </c>
      <c r="V45">
        <f t="shared" ca="1" si="16"/>
        <v>2.214849551487208E-3</v>
      </c>
      <c r="W45" t="b">
        <f t="shared" ca="1" si="3"/>
        <v>1</v>
      </c>
      <c r="X45" t="b">
        <f t="shared" ca="1" si="4"/>
        <v>1</v>
      </c>
      <c r="Y45" t="b">
        <f t="shared" ca="1" si="5"/>
        <v>1</v>
      </c>
    </row>
    <row r="46" spans="1:25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1"/>
        <v>0</v>
      </c>
      <c r="K46">
        <f t="shared" ca="1" si="6"/>
        <v>0.2377453955953768</v>
      </c>
      <c r="L46">
        <f t="shared" ca="1" si="7"/>
        <v>0.2331878872861684</v>
      </c>
      <c r="M46">
        <f t="shared" ca="1" si="8"/>
        <v>0.23991986677658519</v>
      </c>
      <c r="N46">
        <f t="shared" ca="1" si="9"/>
        <v>0.28914685034186949</v>
      </c>
      <c r="O46">
        <f t="shared" ca="1" si="2"/>
        <v>0.99999999999999989</v>
      </c>
      <c r="P46">
        <f t="shared" ca="1" si="10"/>
        <v>8.377308707124078E-3</v>
      </c>
      <c r="Q46">
        <f t="shared" ca="1" si="11"/>
        <v>-1.7706079087153926E-3</v>
      </c>
      <c r="R46">
        <f t="shared" ca="1" si="12"/>
        <v>4.1551246537396185E-3</v>
      </c>
      <c r="S46">
        <f t="shared" ca="1" si="13"/>
        <v>2.4930898054306432E-3</v>
      </c>
      <c r="T46">
        <f t="shared" ca="1" si="14"/>
        <v>3.2841019358970914E-3</v>
      </c>
      <c r="U46">
        <f t="shared" ca="1" si="15"/>
        <v>1203.8377705107246</v>
      </c>
      <c r="V46">
        <f t="shared" ca="1" si="16"/>
        <v>1.4089376897620937E-3</v>
      </c>
      <c r="W46" t="b">
        <f t="shared" ca="1" si="3"/>
        <v>1</v>
      </c>
      <c r="X46" t="b">
        <f t="shared" ca="1" si="4"/>
        <v>1</v>
      </c>
      <c r="Y46" t="b">
        <f t="shared" ca="1" si="5"/>
        <v>1</v>
      </c>
    </row>
    <row r="47" spans="1:25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1"/>
        <v>0</v>
      </c>
      <c r="K47">
        <f t="shared" ca="1" si="6"/>
        <v>0.23773090405500011</v>
      </c>
      <c r="L47">
        <f t="shared" ca="1" si="7"/>
        <v>0.23541647684030093</v>
      </c>
      <c r="M47">
        <f t="shared" ca="1" si="8"/>
        <v>0.23855048727519226</v>
      </c>
      <c r="N47">
        <f t="shared" ca="1" si="9"/>
        <v>0.2883021318295067</v>
      </c>
      <c r="O47">
        <f t="shared" ca="1" si="2"/>
        <v>1</v>
      </c>
      <c r="P47">
        <f t="shared" ca="1" si="10"/>
        <v>-1.4914633348596855E-2</v>
      </c>
      <c r="Q47">
        <f t="shared" ca="1" si="11"/>
        <v>-5.4394954670870929E-3</v>
      </c>
      <c r="R47">
        <f t="shared" ca="1" si="12"/>
        <v>-2.047745358090193E-2</v>
      </c>
      <c r="S47">
        <f t="shared" ca="1" si="13"/>
        <v>-1.7732605287343901E-2</v>
      </c>
      <c r="T47">
        <f t="shared" ca="1" si="14"/>
        <v>-1.4854584763739657E-2</v>
      </c>
      <c r="U47">
        <f t="shared" ca="1" si="15"/>
        <v>1185.9552603068817</v>
      </c>
      <c r="V47">
        <f t="shared" ca="1" si="16"/>
        <v>2.2285895541324652E-3</v>
      </c>
      <c r="W47" t="b">
        <f t="shared" ca="1" si="3"/>
        <v>1</v>
      </c>
      <c r="X47" t="b">
        <f t="shared" ca="1" si="4"/>
        <v>1</v>
      </c>
      <c r="Y47" t="b">
        <f t="shared" ca="1" si="5"/>
        <v>1</v>
      </c>
    </row>
    <row r="48" spans="1:25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1"/>
        <v>0</v>
      </c>
      <c r="K48">
        <f t="shared" ca="1" si="6"/>
        <v>0.23790625797503068</v>
      </c>
      <c r="L48">
        <f t="shared" ca="1" si="7"/>
        <v>0.23537413555884945</v>
      </c>
      <c r="M48">
        <f t="shared" ca="1" si="8"/>
        <v>0.23765469362859754</v>
      </c>
      <c r="N48">
        <f t="shared" ca="1" si="9"/>
        <v>0.28906491283752239</v>
      </c>
      <c r="O48">
        <f t="shared" ca="1" si="2"/>
        <v>1</v>
      </c>
      <c r="P48">
        <f t="shared" ca="1" si="10"/>
        <v>-1.3878743608473361E-2</v>
      </c>
      <c r="Q48">
        <f t="shared" ca="1" si="11"/>
        <v>-1.4782815472415939E-2</v>
      </c>
      <c r="R48">
        <f t="shared" ca="1" si="12"/>
        <v>-1.8305892547660289E-2</v>
      </c>
      <c r="S48">
        <f t="shared" ca="1" si="13"/>
        <v>-1.199845891353408E-2</v>
      </c>
      <c r="T48">
        <f t="shared" ca="1" si="14"/>
        <v>-1.460558547217867E-2</v>
      </c>
      <c r="U48">
        <f t="shared" ca="1" si="15"/>
        <v>1168.6336893862895</v>
      </c>
      <c r="V48">
        <f t="shared" ca="1" si="16"/>
        <v>9.3813492804623033E-4</v>
      </c>
      <c r="W48" t="b">
        <f t="shared" ca="1" si="3"/>
        <v>1</v>
      </c>
      <c r="X48" t="b">
        <f t="shared" ca="1" si="4"/>
        <v>1</v>
      </c>
      <c r="Y48" t="b">
        <f t="shared" ca="1" si="5"/>
        <v>1</v>
      </c>
    </row>
    <row r="49" spans="1:25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1"/>
        <v>0</v>
      </c>
      <c r="K49">
        <f t="shared" ca="1" si="6"/>
        <v>0.23827457967815069</v>
      </c>
      <c r="L49">
        <f t="shared" ca="1" si="7"/>
        <v>0.23764045315342927</v>
      </c>
      <c r="M49">
        <f t="shared" ca="1" si="8"/>
        <v>0.23615048472218039</v>
      </c>
      <c r="N49">
        <f t="shared" ca="1" si="9"/>
        <v>0.2879344824462397</v>
      </c>
      <c r="O49">
        <f t="shared" ca="1" si="2"/>
        <v>1</v>
      </c>
      <c r="P49">
        <f t="shared" ca="1" si="10"/>
        <v>1.3265993265993259E-2</v>
      </c>
      <c r="Q49">
        <f t="shared" ca="1" si="11"/>
        <v>2.1440926827305942E-2</v>
      </c>
      <c r="R49">
        <f t="shared" ca="1" si="12"/>
        <v>5.2962595167163635E-3</v>
      </c>
      <c r="S49">
        <f t="shared" ca="1" si="13"/>
        <v>7.7433012088463865E-3</v>
      </c>
      <c r="T49">
        <f t="shared" ca="1" si="14"/>
        <v>1.1699700055624726E-2</v>
      </c>
      <c r="U49">
        <f t="shared" ca="1" si="15"/>
        <v>1182.3063530270072</v>
      </c>
      <c r="V49">
        <f t="shared" ca="1" si="16"/>
        <v>2.6346392976998312E-3</v>
      </c>
      <c r="W49" t="b">
        <f t="shared" ca="1" si="3"/>
        <v>1</v>
      </c>
      <c r="X49" t="b">
        <f t="shared" ca="1" si="4"/>
        <v>1</v>
      </c>
      <c r="Y49" t="b">
        <f t="shared" ca="1" si="5"/>
        <v>1</v>
      </c>
    </row>
    <row r="50" spans="1:25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1"/>
        <v>0</v>
      </c>
      <c r="K50">
        <f t="shared" ca="1" si="6"/>
        <v>0.23276734462519522</v>
      </c>
      <c r="L50">
        <f t="shared" ca="1" si="7"/>
        <v>0.2351162167382731</v>
      </c>
      <c r="M50">
        <f t="shared" ca="1" si="8"/>
        <v>0.23462820043823854</v>
      </c>
      <c r="N50">
        <f t="shared" ca="1" si="9"/>
        <v>0.29748823819829329</v>
      </c>
      <c r="O50">
        <f t="shared" ca="1" si="2"/>
        <v>1</v>
      </c>
      <c r="P50">
        <f t="shared" ca="1" si="10"/>
        <v>1.4089187213398051E-2</v>
      </c>
      <c r="Q50">
        <f t="shared" ca="1" si="11"/>
        <v>2.7055765595463268E-2</v>
      </c>
      <c r="R50">
        <f t="shared" ca="1" si="12"/>
        <v>3.1390626714959929E-2</v>
      </c>
      <c r="S50">
        <f t="shared" ca="1" si="13"/>
        <v>7.2526257600884492E-2</v>
      </c>
      <c r="T50">
        <f t="shared" ca="1" si="14"/>
        <v>3.80823617183422E-2</v>
      </c>
      <c r="U50">
        <f t="shared" ca="1" si="15"/>
        <v>1227.3313712248755</v>
      </c>
      <c r="V50">
        <f t="shared" ca="1" si="16"/>
        <v>9.5537557520535416E-3</v>
      </c>
      <c r="W50" t="b">
        <f t="shared" ca="1" si="3"/>
        <v>1</v>
      </c>
      <c r="X50" t="b">
        <f t="shared" ca="1" si="4"/>
        <v>1</v>
      </c>
      <c r="Y50" t="b">
        <f t="shared" ca="1" si="5"/>
        <v>1</v>
      </c>
    </row>
    <row r="51" spans="1:25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1"/>
        <v>0</v>
      </c>
      <c r="K51">
        <f t="shared" ca="1" si="6"/>
        <v>0.22973285560096754</v>
      </c>
      <c r="L51">
        <f t="shared" ca="1" si="7"/>
        <v>0.23557115229350944</v>
      </c>
      <c r="M51">
        <f t="shared" ca="1" si="8"/>
        <v>0.23622379762919909</v>
      </c>
      <c r="N51">
        <f t="shared" ca="1" si="9"/>
        <v>0.298472194476324</v>
      </c>
      <c r="O51">
        <f t="shared" ca="1" si="2"/>
        <v>1</v>
      </c>
      <c r="P51">
        <f t="shared" ca="1" si="10"/>
        <v>2.6214037617144355E-3</v>
      </c>
      <c r="Q51">
        <f t="shared" ca="1" si="11"/>
        <v>1.7830438283676434E-2</v>
      </c>
      <c r="R51">
        <f t="shared" ca="1" si="12"/>
        <v>2.277322549749921E-2</v>
      </c>
      <c r="S51">
        <f t="shared" ca="1" si="13"/>
        <v>1.9224822183280022E-2</v>
      </c>
      <c r="T51">
        <f t="shared" ca="1" si="14"/>
        <v>1.5864801782479926E-2</v>
      </c>
      <c r="U51">
        <f t="shared" ca="1" si="15"/>
        <v>1246.8027401507773</v>
      </c>
      <c r="V51">
        <f t="shared" ca="1" si="16"/>
        <v>3.034489024227649E-3</v>
      </c>
      <c r="W51" t="b">
        <f t="shared" ca="1" si="3"/>
        <v>1</v>
      </c>
      <c r="X51" t="b">
        <f t="shared" ca="1" si="4"/>
        <v>1</v>
      </c>
      <c r="Y51" t="b">
        <f t="shared" ca="1" si="5"/>
        <v>1</v>
      </c>
    </row>
    <row r="52" spans="1:25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1"/>
        <v>0</v>
      </c>
      <c r="K52">
        <f t="shared" ca="1" si="6"/>
        <v>0.22610729727407633</v>
      </c>
      <c r="L52">
        <f t="shared" ca="1" si="7"/>
        <v>0.23682476646047504</v>
      </c>
      <c r="M52">
        <f t="shared" ca="1" si="8"/>
        <v>0.23822662563590435</v>
      </c>
      <c r="N52">
        <f t="shared" ca="1" si="9"/>
        <v>0.29884131062954428</v>
      </c>
      <c r="O52">
        <f t="shared" ca="1" si="2"/>
        <v>1</v>
      </c>
      <c r="P52">
        <f t="shared" ca="1" si="10"/>
        <v>1.8694032289692041E-2</v>
      </c>
      <c r="Q52">
        <f t="shared" ca="1" si="11"/>
        <v>4.053646775165759E-2</v>
      </c>
      <c r="R52">
        <f t="shared" ca="1" si="12"/>
        <v>4.3803974612423198E-2</v>
      </c>
      <c r="S52">
        <f t="shared" ca="1" si="13"/>
        <v>3.6308470290771208E-2</v>
      </c>
      <c r="T52">
        <f t="shared" ca="1" si="14"/>
        <v>3.502846587873884E-2</v>
      </c>
      <c r="U52">
        <f t="shared" ca="1" si="15"/>
        <v>1290.4763273916667</v>
      </c>
      <c r="V52">
        <f t="shared" ca="1" si="16"/>
        <v>3.6255583268911679E-3</v>
      </c>
      <c r="W52" t="b">
        <f t="shared" ca="1" si="3"/>
        <v>1</v>
      </c>
      <c r="X52" t="b">
        <f t="shared" ca="1" si="4"/>
        <v>1</v>
      </c>
      <c r="Y52" t="b">
        <f t="shared" ca="1" si="5"/>
        <v>1</v>
      </c>
    </row>
    <row r="53" spans="1:25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1"/>
        <v>0</v>
      </c>
      <c r="K53">
        <f t="shared" ca="1" si="6"/>
        <v>0.22690893866413234</v>
      </c>
      <c r="L53">
        <f t="shared" ca="1" si="7"/>
        <v>0.24176231652232402</v>
      </c>
      <c r="M53">
        <f t="shared" ca="1" si="8"/>
        <v>0.2434972722427709</v>
      </c>
      <c r="N53">
        <f t="shared" ca="1" si="9"/>
        <v>0.2878314725707728</v>
      </c>
      <c r="O53">
        <f t="shared" ca="1" si="2"/>
        <v>1</v>
      </c>
      <c r="P53">
        <f t="shared" ca="1" si="10"/>
        <v>-5.4539621430862648E-3</v>
      </c>
      <c r="Q53">
        <f t="shared" ca="1" si="11"/>
        <v>1.1694424330195578E-2</v>
      </c>
      <c r="R53">
        <f t="shared" ca="1" si="12"/>
        <v>1.2958532695374916E-2</v>
      </c>
      <c r="S53">
        <f t="shared" ca="1" si="13"/>
        <v>-4.5478944029668636E-2</v>
      </c>
      <c r="T53">
        <f t="shared" ca="1" si="14"/>
        <v>-8.9675710513822549E-3</v>
      </c>
      <c r="U53">
        <f t="shared" ca="1" si="15"/>
        <v>1278.903889235655</v>
      </c>
      <c r="V53">
        <f t="shared" ca="1" si="16"/>
        <v>1.1009838058771509E-2</v>
      </c>
      <c r="W53" t="b">
        <f t="shared" ca="1" si="3"/>
        <v>1</v>
      </c>
      <c r="X53" t="b">
        <f t="shared" ca="1" si="4"/>
        <v>1</v>
      </c>
      <c r="Y53" t="b">
        <f t="shared" ca="1" si="5"/>
        <v>1</v>
      </c>
    </row>
    <row r="54" spans="1:25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1"/>
        <v>0</v>
      </c>
      <c r="K54">
        <f t="shared" ca="1" si="6"/>
        <v>0.23052316528068212</v>
      </c>
      <c r="L54">
        <f t="shared" ca="1" si="7"/>
        <v>0.23563592338615741</v>
      </c>
      <c r="M54">
        <f t="shared" ca="1" si="8"/>
        <v>0.24264490844528366</v>
      </c>
      <c r="N54">
        <f t="shared" ca="1" si="9"/>
        <v>0.29119600288787689</v>
      </c>
      <c r="O54">
        <f t="shared" ca="1" si="2"/>
        <v>1</v>
      </c>
      <c r="P54">
        <f t="shared" ca="1" si="10"/>
        <v>1.5483870967741972E-2</v>
      </c>
      <c r="Q54">
        <f t="shared" ca="1" si="11"/>
        <v>-2.5766739433847434E-2</v>
      </c>
      <c r="R54">
        <f t="shared" ca="1" si="12"/>
        <v>-3.9362330249951352E-3</v>
      </c>
      <c r="S54">
        <f t="shared" ca="1" si="13"/>
        <v>1.1246868769490253E-2</v>
      </c>
      <c r="T54">
        <f t="shared" ca="1" si="14"/>
        <v>-4.3725709181697972E-4</v>
      </c>
      <c r="U54">
        <f t="shared" ca="1" si="15"/>
        <v>1278.3446794403344</v>
      </c>
      <c r="V54">
        <f t="shared" ca="1" si="16"/>
        <v>6.9787569336538652E-3</v>
      </c>
      <c r="W54" t="b">
        <f t="shared" ca="1" si="3"/>
        <v>1</v>
      </c>
      <c r="X54" t="b">
        <f t="shared" ca="1" si="4"/>
        <v>1</v>
      </c>
      <c r="Y54" t="b">
        <f t="shared" ca="1" si="5"/>
        <v>1</v>
      </c>
    </row>
    <row r="55" spans="1:25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1"/>
        <v>0</v>
      </c>
      <c r="K55">
        <f t="shared" ca="1" si="6"/>
        <v>0.22884422723613074</v>
      </c>
      <c r="L55">
        <f t="shared" ca="1" si="7"/>
        <v>0.23247491893514574</v>
      </c>
      <c r="M55">
        <f t="shared" ca="1" si="8"/>
        <v>0.24673570465616002</v>
      </c>
      <c r="N55">
        <f t="shared" ca="1" si="9"/>
        <v>0.29194514917256337</v>
      </c>
      <c r="O55">
        <f t="shared" ca="1" si="2"/>
        <v>0.99999999999999978</v>
      </c>
      <c r="P55">
        <f t="shared" ca="1" si="10"/>
        <v>1.1944091486658166E-2</v>
      </c>
      <c r="Q55">
        <f t="shared" ca="1" si="11"/>
        <v>5.6937148734524275E-3</v>
      </c>
      <c r="R55">
        <f t="shared" ca="1" si="12"/>
        <v>3.6554040703418327E-2</v>
      </c>
      <c r="S55">
        <f t="shared" ca="1" si="13"/>
        <v>2.1990799251807261E-2</v>
      </c>
      <c r="T55">
        <f t="shared" ca="1" si="14"/>
        <v>1.9368318239832052E-2</v>
      </c>
      <c r="U55">
        <f t="shared" ca="1" si="15"/>
        <v>1303.1040660119309</v>
      </c>
      <c r="V55">
        <f t="shared" ca="1" si="16"/>
        <v>4.8399424955629378E-3</v>
      </c>
      <c r="W55" t="b">
        <f t="shared" ca="1" si="3"/>
        <v>1</v>
      </c>
      <c r="X55" t="b">
        <f t="shared" ca="1" si="4"/>
        <v>1</v>
      </c>
      <c r="Y55" t="b">
        <f t="shared" ca="1" si="5"/>
        <v>1</v>
      </c>
    </row>
    <row r="56" spans="1:25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1"/>
        <v>0</v>
      </c>
      <c r="K56">
        <f t="shared" ca="1" si="6"/>
        <v>0.22914109743805203</v>
      </c>
      <c r="L56">
        <f t="shared" ca="1" si="7"/>
        <v>0.23363655584928744</v>
      </c>
      <c r="M56">
        <f t="shared" ca="1" si="8"/>
        <v>0.24564218515586408</v>
      </c>
      <c r="N56">
        <f t="shared" ca="1" si="9"/>
        <v>0.29158016155679645</v>
      </c>
      <c r="O56">
        <f t="shared" ca="1" si="2"/>
        <v>1</v>
      </c>
      <c r="P56">
        <f t="shared" ca="1" si="10"/>
        <v>-9.1034655951782312E-3</v>
      </c>
      <c r="Q56">
        <f t="shared" ca="1" si="11"/>
        <v>-5.4423259551462941E-3</v>
      </c>
      <c r="R56">
        <f t="shared" ca="1" si="12"/>
        <v>-1.4773160503240537E-2</v>
      </c>
      <c r="S56">
        <f t="shared" ca="1" si="13"/>
        <v>-1.1624455876533411E-2</v>
      </c>
      <c r="T56">
        <f t="shared" ca="1" si="14"/>
        <v>-1.0387249506230573E-2</v>
      </c>
      <c r="U56">
        <f t="shared" ca="1" si="15"/>
        <v>1289.5683989456813</v>
      </c>
      <c r="V56">
        <f t="shared" ca="1" si="16"/>
        <v>1.4585071160629209E-3</v>
      </c>
      <c r="W56" t="b">
        <f t="shared" ca="1" si="3"/>
        <v>1</v>
      </c>
      <c r="X56" t="b">
        <f t="shared" ca="1" si="4"/>
        <v>1</v>
      </c>
      <c r="Y56" t="b">
        <f t="shared" ca="1" si="5"/>
        <v>1</v>
      </c>
    </row>
    <row r="57" spans="1:25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1"/>
        <v>0</v>
      </c>
      <c r="K57">
        <f t="shared" ca="1" si="6"/>
        <v>0.2266522539575539</v>
      </c>
      <c r="L57">
        <f t="shared" ca="1" si="7"/>
        <v>0.23402548260819275</v>
      </c>
      <c r="M57">
        <f t="shared" ca="1" si="8"/>
        <v>0.24649781879658875</v>
      </c>
      <c r="N57">
        <f t="shared" ca="1" si="9"/>
        <v>0.29282444463766477</v>
      </c>
      <c r="O57">
        <f t="shared" ca="1" si="2"/>
        <v>1</v>
      </c>
      <c r="P57">
        <f t="shared" ca="1" si="10"/>
        <v>6.969524171576977E-3</v>
      </c>
      <c r="Q57">
        <f t="shared" ca="1" si="11"/>
        <v>1.9721620331264476E-2</v>
      </c>
      <c r="R57">
        <f t="shared" ca="1" si="12"/>
        <v>2.1572990229273385E-2</v>
      </c>
      <c r="S57">
        <f t="shared" ca="1" si="13"/>
        <v>2.2371252690055545E-2</v>
      </c>
      <c r="T57">
        <f t="shared" ca="1" si="14"/>
        <v>1.8026945801119229E-2</v>
      </c>
      <c r="U57">
        <f t="shared" ca="1" si="15"/>
        <v>1312.8153785803113</v>
      </c>
      <c r="V57">
        <f t="shared" ca="1" si="16"/>
        <v>2.4888434804982151E-3</v>
      </c>
      <c r="W57" t="b">
        <f t="shared" ca="1" si="3"/>
        <v>1</v>
      </c>
      <c r="X57" t="b">
        <f t="shared" ca="1" si="4"/>
        <v>1</v>
      </c>
      <c r="Y57" t="b">
        <f t="shared" ca="1" si="5"/>
        <v>1</v>
      </c>
    </row>
    <row r="58" spans="1:25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1"/>
        <v>0</v>
      </c>
      <c r="K58">
        <f t="shared" ca="1" si="6"/>
        <v>0.22707203008499524</v>
      </c>
      <c r="L58">
        <f t="shared" ca="1" si="7"/>
        <v>0.23496463894797973</v>
      </c>
      <c r="M58">
        <f t="shared" ca="1" si="8"/>
        <v>0.24454906421942907</v>
      </c>
      <c r="N58">
        <f t="shared" ca="1" si="9"/>
        <v>0.29341426674759602</v>
      </c>
      <c r="O58">
        <f t="shared" ca="1" si="2"/>
        <v>1</v>
      </c>
      <c r="P58">
        <f t="shared" ca="1" si="10"/>
        <v>8.3055433209588692E-3</v>
      </c>
      <c r="Q58">
        <f t="shared" ca="1" si="11"/>
        <v>1.0480443708132132E-2</v>
      </c>
      <c r="R58">
        <f t="shared" ca="1" si="12"/>
        <v>-1.5151515151514828E-3</v>
      </c>
      <c r="S58">
        <f t="shared" ca="1" si="13"/>
        <v>8.4687683571567935E-3</v>
      </c>
      <c r="T58">
        <f t="shared" ca="1" si="14"/>
        <v>6.4415418580993341E-3</v>
      </c>
      <c r="U58">
        <f t="shared" ca="1" si="15"/>
        <v>1321.2719337933929</v>
      </c>
      <c r="V58">
        <f t="shared" ca="1" si="16"/>
        <v>1.9487545771596226E-3</v>
      </c>
      <c r="W58" t="b">
        <f t="shared" ca="1" si="3"/>
        <v>1</v>
      </c>
      <c r="X58" t="b">
        <f t="shared" ca="1" si="4"/>
        <v>1</v>
      </c>
      <c r="Y58" t="b">
        <f t="shared" ca="1" si="5"/>
        <v>1</v>
      </c>
    </row>
    <row r="59" spans="1:25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1"/>
        <v>0</v>
      </c>
      <c r="K59">
        <f t="shared" ca="1" si="6"/>
        <v>0.22832811990824578</v>
      </c>
      <c r="L59">
        <f t="shared" ca="1" si="7"/>
        <v>0.23563274512981625</v>
      </c>
      <c r="M59">
        <f t="shared" ca="1" si="8"/>
        <v>0.24192609428426495</v>
      </c>
      <c r="N59">
        <f t="shared" ca="1" si="9"/>
        <v>0.29411304067767297</v>
      </c>
      <c r="O59">
        <f t="shared" ca="1" si="2"/>
        <v>0.99999999999999989</v>
      </c>
      <c r="P59">
        <f t="shared" ca="1" si="10"/>
        <v>-1.2293291731669259E-2</v>
      </c>
      <c r="Q59">
        <f t="shared" ca="1" si="11"/>
        <v>-1.49338845920804E-2</v>
      </c>
      <c r="R59">
        <f t="shared" ca="1" si="12"/>
        <v>-2.8262518968133574E-2</v>
      </c>
      <c r="S59">
        <f t="shared" ca="1" si="13"/>
        <v>-1.5387602543565786E-2</v>
      </c>
      <c r="T59">
        <f t="shared" ca="1" si="14"/>
        <v>-1.7726912194670923E-2</v>
      </c>
      <c r="U59">
        <f t="shared" ca="1" si="15"/>
        <v>1297.8498622377545</v>
      </c>
      <c r="V59">
        <f t="shared" ca="1" si="16"/>
        <v>2.6229699351640601E-3</v>
      </c>
      <c r="W59" t="b">
        <f t="shared" ca="1" si="3"/>
        <v>1</v>
      </c>
      <c r="X59" t="b">
        <f t="shared" ca="1" si="4"/>
        <v>1</v>
      </c>
      <c r="Y59" t="b">
        <f t="shared" ca="1" si="5"/>
        <v>1</v>
      </c>
    </row>
    <row r="60" spans="1:25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1"/>
        <v>0</v>
      </c>
      <c r="K60">
        <f t="shared" ca="1" si="6"/>
        <v>0.22934527964118628</v>
      </c>
      <c r="L60">
        <f t="shared" ca="1" si="7"/>
        <v>0.23663951813660378</v>
      </c>
      <c r="M60">
        <f t="shared" ca="1" si="8"/>
        <v>0.24056984447502566</v>
      </c>
      <c r="N60">
        <f t="shared" ca="1" si="9"/>
        <v>0.29344535774718428</v>
      </c>
      <c r="O60">
        <f t="shared" ca="1" si="2"/>
        <v>1</v>
      </c>
      <c r="P60">
        <f t="shared" ca="1" si="10"/>
        <v>-3.9802880970431862E-3</v>
      </c>
      <c r="Q60">
        <f t="shared" ca="1" si="11"/>
        <v>-4.1609378392068064E-3</v>
      </c>
      <c r="R60">
        <f t="shared" ca="1" si="12"/>
        <v>-1.3956666016006175E-2</v>
      </c>
      <c r="S60">
        <f t="shared" ca="1" si="13"/>
        <v>-1.0648787221455317E-2</v>
      </c>
      <c r="T60">
        <f t="shared" ca="1" si="14"/>
        <v>-8.3976937909719437E-3</v>
      </c>
      <c r="U60">
        <f t="shared" ca="1" si="15"/>
        <v>1286.9509165080267</v>
      </c>
      <c r="V60">
        <f t="shared" ca="1" si="16"/>
        <v>2.0239327397280071E-3</v>
      </c>
      <c r="W60" t="b">
        <f t="shared" ca="1" si="3"/>
        <v>1</v>
      </c>
      <c r="X60" t="b">
        <f t="shared" ca="1" si="4"/>
        <v>1</v>
      </c>
      <c r="Y60" t="b">
        <f t="shared" ca="1" si="5"/>
        <v>1</v>
      </c>
    </row>
    <row r="61" spans="1:25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1"/>
        <v>0</v>
      </c>
      <c r="K61">
        <f t="shared" ca="1" si="6"/>
        <v>0.230027867784007</v>
      </c>
      <c r="L61">
        <f t="shared" ca="1" si="7"/>
        <v>0.23720260899636236</v>
      </c>
      <c r="M61">
        <f t="shared" ca="1" si="8"/>
        <v>0.23744638861288139</v>
      </c>
      <c r="N61">
        <f t="shared" ca="1" si="9"/>
        <v>0.29532313460674925</v>
      </c>
      <c r="O61">
        <f t="shared" ca="1" si="2"/>
        <v>1</v>
      </c>
      <c r="P61">
        <f t="shared" ca="1" si="10"/>
        <v>1.9790675547098031E-2</v>
      </c>
      <c r="Q61">
        <f t="shared" ca="1" si="11"/>
        <v>1.918395523743768E-2</v>
      </c>
      <c r="R61">
        <f t="shared" ca="1" si="12"/>
        <v>3.5632980302880276E-3</v>
      </c>
      <c r="S61">
        <f t="shared" ca="1" si="13"/>
        <v>2.3270879011361309E-2</v>
      </c>
      <c r="T61">
        <f t="shared" ca="1" si="14"/>
        <v>1.676453341052353E-2</v>
      </c>
      <c r="U61">
        <f t="shared" ca="1" si="15"/>
        <v>1308.5260481455293</v>
      </c>
      <c r="V61">
        <f t="shared" ca="1" si="16"/>
        <v>3.1234558621442698E-3</v>
      </c>
      <c r="W61" t="b">
        <f t="shared" ca="1" si="3"/>
        <v>1</v>
      </c>
      <c r="X61" t="b">
        <f t="shared" ca="1" si="4"/>
        <v>1</v>
      </c>
      <c r="Y61" t="b">
        <f t="shared" ca="1" si="5"/>
        <v>1</v>
      </c>
    </row>
    <row r="62" spans="1:25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1"/>
        <v>0</v>
      </c>
      <c r="K62">
        <f t="shared" ca="1" si="6"/>
        <v>0.23053268867185553</v>
      </c>
      <c r="L62">
        <f t="shared" ca="1" si="7"/>
        <v>0.23836579638161454</v>
      </c>
      <c r="M62">
        <f t="shared" ca="1" si="8"/>
        <v>0.23447502907158665</v>
      </c>
      <c r="N62">
        <f t="shared" ca="1" si="9"/>
        <v>0.29662648587494322</v>
      </c>
      <c r="O62">
        <f t="shared" ca="1" si="2"/>
        <v>1</v>
      </c>
      <c r="P62">
        <f t="shared" ca="1" si="10"/>
        <v>9.8899048329912503E-3</v>
      </c>
      <c r="Q62">
        <f t="shared" ca="1" si="11"/>
        <v>1.2619870949342343E-2</v>
      </c>
      <c r="R62">
        <f t="shared" ca="1" si="12"/>
        <v>-4.9314528059966464E-3</v>
      </c>
      <c r="S62">
        <f t="shared" ca="1" si="13"/>
        <v>1.2125639152666224E-2</v>
      </c>
      <c r="T62">
        <f t="shared" ca="1" si="14"/>
        <v>7.6784461399780788E-3</v>
      </c>
      <c r="U62">
        <f t="shared" ca="1" si="15"/>
        <v>1318.5734949289733</v>
      </c>
      <c r="V62">
        <f t="shared" ca="1" si="16"/>
        <v>2.9713595412947102E-3</v>
      </c>
      <c r="W62" t="b">
        <f t="shared" ca="1" si="3"/>
        <v>1</v>
      </c>
      <c r="X62" t="b">
        <f t="shared" ca="1" si="4"/>
        <v>1</v>
      </c>
      <c r="Y62" t="b">
        <f t="shared" ca="1" si="5"/>
        <v>1</v>
      </c>
    </row>
    <row r="63" spans="1:25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1"/>
        <v>1</v>
      </c>
      <c r="K63">
        <f t="shared" ca="1" si="6"/>
        <v>0.25</v>
      </c>
      <c r="L63">
        <f t="shared" ca="1" si="7"/>
        <v>0.25</v>
      </c>
      <c r="M63">
        <f t="shared" ca="1" si="8"/>
        <v>0.25</v>
      </c>
      <c r="N63">
        <f t="shared" ca="1" si="9"/>
        <v>0.29665613713259104</v>
      </c>
      <c r="O63">
        <f t="shared" ca="1" si="2"/>
        <v>1.0466561371325911</v>
      </c>
      <c r="P63">
        <f t="shared" ca="1" si="10"/>
        <v>1.5644247351564375E-2</v>
      </c>
      <c r="Q63">
        <f t="shared" ca="1" si="11"/>
        <v>1.4962154550255236E-2</v>
      </c>
      <c r="R63">
        <f t="shared" ca="1" si="12"/>
        <v>2.8149469719496514E-2</v>
      </c>
      <c r="S63">
        <f t="shared" ca="1" si="13"/>
        <v>1.9726712856043084E-2</v>
      </c>
      <c r="T63">
        <f t="shared" ca="1" si="14"/>
        <v>1.9624789532340897E-2</v>
      </c>
      <c r="U63">
        <f t="shared" ca="1" si="15"/>
        <v>1344.4502222498777</v>
      </c>
      <c r="V63">
        <f t="shared" ca="1" si="16"/>
        <v>2.3328068566295546E-2</v>
      </c>
      <c r="W63" t="b">
        <f t="shared" ca="1" si="3"/>
        <v>1</v>
      </c>
      <c r="X63" t="b">
        <f t="shared" ca="1" si="4"/>
        <v>1</v>
      </c>
      <c r="Y63" t="b">
        <f t="shared" ca="1" si="5"/>
        <v>1</v>
      </c>
    </row>
    <row r="64" spans="1:25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1"/>
        <v>0</v>
      </c>
      <c r="K64">
        <f t="shared" ca="1" si="6"/>
        <v>0.23975685253655679</v>
      </c>
      <c r="L64">
        <f t="shared" ca="1" si="7"/>
        <v>0.2370414091713807</v>
      </c>
      <c r="M64">
        <f t="shared" ca="1" si="8"/>
        <v>0.23936946932988701</v>
      </c>
      <c r="N64">
        <f t="shared" ca="1" si="9"/>
        <v>0.28383226896217545</v>
      </c>
      <c r="O64">
        <f t="shared" ca="1" si="2"/>
        <v>1</v>
      </c>
      <c r="P64">
        <f t="shared" ca="1" si="10"/>
        <v>7.7016373559732065E-3</v>
      </c>
      <c r="Q64">
        <f t="shared" ca="1" si="11"/>
        <v>-3.7114117238986927E-3</v>
      </c>
      <c r="R64">
        <f t="shared" ca="1" si="12"/>
        <v>6.073459944085563E-3</v>
      </c>
      <c r="S64">
        <f t="shared" ca="1" si="13"/>
        <v>5.3316976502783596E-3</v>
      </c>
      <c r="T64">
        <f t="shared" ca="1" si="14"/>
        <v>4.09760222333051E-3</v>
      </c>
      <c r="U64">
        <f t="shared" ca="1" si="15"/>
        <v>1349.9592444697259</v>
      </c>
      <c r="V64">
        <f t="shared" ca="1" si="16"/>
        <v>2.3328068566295546E-2</v>
      </c>
      <c r="W64" t="b">
        <f t="shared" ca="1" si="3"/>
        <v>1</v>
      </c>
      <c r="X64" t="b">
        <f t="shared" ca="1" si="4"/>
        <v>1</v>
      </c>
      <c r="Y64" t="b">
        <f t="shared" ca="1" si="5"/>
        <v>1</v>
      </c>
    </row>
    <row r="65" spans="1:25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1"/>
        <v>0</v>
      </c>
      <c r="K65">
        <f t="shared" ca="1" si="6"/>
        <v>0.23845233426858276</v>
      </c>
      <c r="L65">
        <f t="shared" ca="1" si="7"/>
        <v>0.23647910920558521</v>
      </c>
      <c r="M65">
        <f t="shared" ca="1" si="8"/>
        <v>0.2396671368319426</v>
      </c>
      <c r="N65">
        <f t="shared" ca="1" si="9"/>
        <v>0.28540141969388944</v>
      </c>
      <c r="O65">
        <f t="shared" ca="1" si="2"/>
        <v>1</v>
      </c>
      <c r="P65">
        <f t="shared" ca="1" si="10"/>
        <v>-3.2496840584942655E-3</v>
      </c>
      <c r="Q65">
        <f t="shared" ca="1" si="11"/>
        <v>-1.7407652404000755E-4</v>
      </c>
      <c r="R65">
        <f t="shared" ca="1" si="12"/>
        <v>3.4495975469528502E-3</v>
      </c>
      <c r="S65">
        <f t="shared" ca="1" si="13"/>
        <v>7.74393391843059E-3</v>
      </c>
      <c r="T65">
        <f t="shared" ca="1" si="14"/>
        <v>2.2033093028121799E-3</v>
      </c>
      <c r="U65">
        <f t="shared" ca="1" si="15"/>
        <v>1352.9336222314835</v>
      </c>
      <c r="V65">
        <f t="shared" ca="1" si="16"/>
        <v>1.8668182337695516E-3</v>
      </c>
      <c r="W65" t="b">
        <f t="shared" ca="1" si="3"/>
        <v>1</v>
      </c>
      <c r="X65" t="b">
        <f t="shared" ca="1" si="4"/>
        <v>1</v>
      </c>
      <c r="Y65" t="b">
        <f t="shared" ca="1" si="5"/>
        <v>1</v>
      </c>
    </row>
    <row r="66" spans="1:25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1"/>
        <v>0</v>
      </c>
      <c r="K66">
        <f t="shared" ca="1" si="6"/>
        <v>0.23811979929453764</v>
      </c>
      <c r="L66">
        <f t="shared" ca="1" si="7"/>
        <v>0.23648393894428965</v>
      </c>
      <c r="M66">
        <f t="shared" ca="1" si="8"/>
        <v>0.24148799773259133</v>
      </c>
      <c r="N66">
        <f t="shared" ca="1" si="9"/>
        <v>0.28390826402858133</v>
      </c>
      <c r="O66">
        <f t="shared" ca="1" si="2"/>
        <v>1</v>
      </c>
      <c r="P66">
        <f t="shared" ca="1" si="10"/>
        <v>-1.1290225200748684E-2</v>
      </c>
      <c r="Q66">
        <f t="shared" ca="1" si="11"/>
        <v>-9.889268054878584E-3</v>
      </c>
      <c r="R66">
        <f t="shared" ca="1" si="12"/>
        <v>-2.3873185637891519E-3</v>
      </c>
      <c r="S66">
        <f t="shared" ca="1" si="13"/>
        <v>-1.5089418777943411E-2</v>
      </c>
      <c r="T66">
        <f t="shared" ca="1" si="14"/>
        <v>-9.9094892003192148E-3</v>
      </c>
      <c r="U66">
        <f t="shared" ca="1" si="15"/>
        <v>1339.5267411132318</v>
      </c>
      <c r="V66">
        <f t="shared" ca="1" si="16"/>
        <v>1.8256906393532002E-3</v>
      </c>
      <c r="W66" t="b">
        <f t="shared" ca="1" si="3"/>
        <v>1</v>
      </c>
      <c r="X66" t="b">
        <f t="shared" ca="1" si="4"/>
        <v>1</v>
      </c>
      <c r="Y66" t="b">
        <f t="shared" ca="1" si="5"/>
        <v>1</v>
      </c>
    </row>
    <row r="67" spans="1:25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17">IF(MONTH(A68)&lt;&gt;MONTH(A67), 1, 0)</f>
        <v>0</v>
      </c>
      <c r="K67">
        <f t="shared" ca="1" si="6"/>
        <v>0.23411873212266002</v>
      </c>
      <c r="L67">
        <f t="shared" ca="1" si="7"/>
        <v>0.23714369658178674</v>
      </c>
      <c r="M67">
        <f t="shared" ca="1" si="8"/>
        <v>0.24506073578609255</v>
      </c>
      <c r="N67">
        <f t="shared" ca="1" si="9"/>
        <v>0.2836768355094606</v>
      </c>
      <c r="O67">
        <f t="shared" ref="O67:O130" ca="1" si="18">SUM(K67:N67)</f>
        <v>1</v>
      </c>
      <c r="P67">
        <f t="shared" ca="1" si="10"/>
        <v>5.4958475818270994E-3</v>
      </c>
      <c r="Q67">
        <f t="shared" ca="1" si="11"/>
        <v>2.553281282971108E-2</v>
      </c>
      <c r="R67">
        <f t="shared" ca="1" si="12"/>
        <v>3.7809897578252157E-2</v>
      </c>
      <c r="S67">
        <f t="shared" ca="1" si="13"/>
        <v>2.1846037450349937E-2</v>
      </c>
      <c r="T67">
        <f t="shared" ca="1" si="14"/>
        <v>2.2679677302514099E-2</v>
      </c>
      <c r="U67">
        <f t="shared" ca="1" si="15"/>
        <v>1369.9067753397683</v>
      </c>
      <c r="V67">
        <f t="shared" ca="1" si="16"/>
        <v>4.2324956909983308E-3</v>
      </c>
      <c r="W67" t="b">
        <f t="shared" ref="W67:W130" ca="1" si="19">MIN(K67:N67)&gt;=0</f>
        <v>1</v>
      </c>
      <c r="X67" t="b">
        <f t="shared" ref="X67:X130" ca="1" si="20">U67&gt;0</f>
        <v>1</v>
      </c>
      <c r="Y67" t="b">
        <f t="shared" ref="Y67:Y130" ca="1" si="21">V67&lt;=1</f>
        <v>1</v>
      </c>
    </row>
    <row r="68" spans="1:25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17"/>
        <v>0</v>
      </c>
      <c r="K68">
        <f t="shared" ref="K68:K131" ca="1" si="22">IF(J68=1, 1/4, K67*(B68/B67) / (K67*(B68/B67)+L67*(C68/C67)+M67*(D68/D67)+N67*(E68/E67)))</f>
        <v>0.23312653366072614</v>
      </c>
      <c r="L68">
        <f t="shared" ref="L68:L131" ca="1" si="23">IF(J68=1, 1/4, L67*(C68/C67) / (K67*(B68/B67)+L67*(C68/C67)+M67*(D68/D67)+N67*(E68/E67)))</f>
        <v>0.23815286325503032</v>
      </c>
      <c r="M68">
        <f t="shared" ref="M68:M131" ca="1" si="24">IF(J68=1, 1/4, M67*(D68/D67) / (K67*(B68/B67)+L67*(C68/C67)+M67*(D68/D67)+N67*(E68/E67)))</f>
        <v>0.2434542821799274</v>
      </c>
      <c r="N68">
        <f t="shared" ref="N68:N131" ca="1" si="25">IF(I68=1, 1/4, N67*(E68/E67) / (K67*(B68/B67)+L67*(C68/C67)+M67*(D68/D67)+N67*(E68/E67)))</f>
        <v>0.2852663209043162</v>
      </c>
      <c r="O68">
        <f t="shared" ca="1" si="18"/>
        <v>1</v>
      </c>
      <c r="P68">
        <f t="shared" ref="P68:P131" ca="1" si="26">(B68-B67)/B67</f>
        <v>-1.5972306571116212E-2</v>
      </c>
      <c r="Q68">
        <f t="shared" ref="Q68:Q131" ca="1" si="27">(C68-C67)/C67</f>
        <v>-7.5788751714678882E-3</v>
      </c>
      <c r="R68">
        <f t="shared" ref="R68:R131" ca="1" si="28">(D68-D67)/D67</f>
        <v>-1.8262313226342041E-2</v>
      </c>
      <c r="S68">
        <f t="shared" ref="S68:S131" ca="1" si="29">(E68-E67)/E67</f>
        <v>-6.2471078204534673E-3</v>
      </c>
      <c r="T68">
        <f t="shared" ref="T68:T131" ca="1" si="30">SUMPRODUCT(K67:N67,P68:S68)</f>
        <v>-1.1784234331594092E-2</v>
      </c>
      <c r="U68">
        <f t="shared" ref="U68:U131" ca="1" si="31">U67*(1+T68)</f>
        <v>1353.763472886726</v>
      </c>
      <c r="V68">
        <f t="shared" ref="V68:V131" ca="1" si="32">IF(O68,SUM(ABS(K68-K67),ABS(L68-L67), ABS(M68-M67),ABS(N68-N67))/2,0)</f>
        <v>2.5986520680991027E-3</v>
      </c>
      <c r="W68" t="b">
        <f t="shared" ca="1" si="19"/>
        <v>1</v>
      </c>
      <c r="X68" t="b">
        <f t="shared" ca="1" si="20"/>
        <v>1</v>
      </c>
      <c r="Y68" t="b">
        <f t="shared" ca="1" si="21"/>
        <v>1</v>
      </c>
    </row>
    <row r="69" spans="1:25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17"/>
        <v>0</v>
      </c>
      <c r="K69">
        <f t="shared" ca="1" si="22"/>
        <v>0.23389620710357922</v>
      </c>
      <c r="L69">
        <f t="shared" ca="1" si="23"/>
        <v>0.23530904521070636</v>
      </c>
      <c r="M69">
        <f t="shared" ca="1" si="24"/>
        <v>0.24360598419547297</v>
      </c>
      <c r="N69">
        <f t="shared" ca="1" si="25"/>
        <v>0.28718876349024142</v>
      </c>
      <c r="O69">
        <f t="shared" ca="1" si="18"/>
        <v>1</v>
      </c>
      <c r="P69">
        <f t="shared" ca="1" si="26"/>
        <v>-7.5911868172560005E-3</v>
      </c>
      <c r="Q69">
        <f t="shared" ca="1" si="27"/>
        <v>-2.266837140191438E-2</v>
      </c>
      <c r="R69">
        <f t="shared" ca="1" si="28"/>
        <v>-1.0240511086057905E-2</v>
      </c>
      <c r="S69">
        <f t="shared" ca="1" si="29"/>
        <v>-4.1909196740396075E-3</v>
      </c>
      <c r="T69">
        <f t="shared" ca="1" si="30"/>
        <v>-1.0856869136002858E-2</v>
      </c>
      <c r="U69">
        <f t="shared" ca="1" si="31"/>
        <v>1339.0658400204941</v>
      </c>
      <c r="V69">
        <f t="shared" ca="1" si="32"/>
        <v>2.8438180443239175E-3</v>
      </c>
      <c r="W69" t="b">
        <f t="shared" ca="1" si="19"/>
        <v>1</v>
      </c>
      <c r="X69" t="b">
        <f t="shared" ca="1" si="20"/>
        <v>1</v>
      </c>
      <c r="Y69" t="b">
        <f t="shared" ca="1" si="21"/>
        <v>1</v>
      </c>
    </row>
    <row r="70" spans="1:25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17"/>
        <v>0</v>
      </c>
      <c r="K70">
        <f t="shared" ca="1" si="22"/>
        <v>0.23332351572463028</v>
      </c>
      <c r="L70">
        <f t="shared" ca="1" si="23"/>
        <v>0.23630936710039802</v>
      </c>
      <c r="M70">
        <f t="shared" ca="1" si="24"/>
        <v>0.24242711241862969</v>
      </c>
      <c r="N70">
        <f t="shared" ca="1" si="25"/>
        <v>0.28794000475634207</v>
      </c>
      <c r="O70">
        <f t="shared" ca="1" si="18"/>
        <v>1</v>
      </c>
      <c r="P70">
        <f t="shared" ca="1" si="26"/>
        <v>-4.3532338308458771E-3</v>
      </c>
      <c r="Q70">
        <f t="shared" ca="1" si="27"/>
        <v>2.3335572605452924E-3</v>
      </c>
      <c r="R70">
        <f t="shared" ca="1" si="28"/>
        <v>-6.7394399620312653E-3</v>
      </c>
      <c r="S70">
        <f t="shared" ca="1" si="29"/>
        <v>7.0142623334115359E-4</v>
      </c>
      <c r="T70">
        <f t="shared" ca="1" si="30"/>
        <v>-1.9094239229904744E-3</v>
      </c>
      <c r="U70">
        <f t="shared" ca="1" si="31"/>
        <v>1336.5089956710997</v>
      </c>
      <c r="V70">
        <f t="shared" ca="1" si="32"/>
        <v>1.7515631557922656E-3</v>
      </c>
      <c r="W70" t="b">
        <f t="shared" ca="1" si="19"/>
        <v>1</v>
      </c>
      <c r="X70" t="b">
        <f t="shared" ca="1" si="20"/>
        <v>1</v>
      </c>
      <c r="Y70" t="b">
        <f t="shared" ca="1" si="21"/>
        <v>1</v>
      </c>
    </row>
    <row r="71" spans="1:25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17"/>
        <v>0</v>
      </c>
      <c r="K71">
        <f t="shared" ca="1" si="22"/>
        <v>0.23464992635614479</v>
      </c>
      <c r="L71">
        <f t="shared" ca="1" si="23"/>
        <v>0.23496292436136432</v>
      </c>
      <c r="M71">
        <f t="shared" ca="1" si="24"/>
        <v>0.24205098706469624</v>
      </c>
      <c r="N71">
        <f t="shared" ca="1" si="25"/>
        <v>0.28833616221779468</v>
      </c>
      <c r="O71">
        <f t="shared" ca="1" si="18"/>
        <v>1</v>
      </c>
      <c r="P71">
        <f t="shared" ca="1" si="26"/>
        <v>3.4103685196752082E-2</v>
      </c>
      <c r="Q71">
        <f t="shared" ca="1" si="27"/>
        <v>2.2399379166813522E-2</v>
      </c>
      <c r="R71">
        <f t="shared" ca="1" si="28"/>
        <v>2.6662844036697306E-2</v>
      </c>
      <c r="S71">
        <f t="shared" ca="1" si="29"/>
        <v>2.9672897196261656E-2</v>
      </c>
      <c r="T71">
        <f t="shared" ca="1" si="30"/>
        <v>2.8258185292134606E-2</v>
      </c>
      <c r="U71">
        <f t="shared" ca="1" si="31"/>
        <v>1374.2763145153783</v>
      </c>
      <c r="V71">
        <f t="shared" ca="1" si="32"/>
        <v>1.7225680929671278E-3</v>
      </c>
      <c r="W71" t="b">
        <f t="shared" ca="1" si="19"/>
        <v>1</v>
      </c>
      <c r="X71" t="b">
        <f t="shared" ca="1" si="20"/>
        <v>1</v>
      </c>
      <c r="Y71" t="b">
        <f t="shared" ca="1" si="21"/>
        <v>1</v>
      </c>
    </row>
    <row r="72" spans="1:25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17"/>
        <v>0</v>
      </c>
      <c r="K72">
        <f t="shared" ca="1" si="22"/>
        <v>0.23386371622680627</v>
      </c>
      <c r="L72">
        <f t="shared" ca="1" si="23"/>
        <v>0.23167602943822047</v>
      </c>
      <c r="M72">
        <f t="shared" ca="1" si="24"/>
        <v>0.24499149961082006</v>
      </c>
      <c r="N72">
        <f t="shared" ca="1" si="25"/>
        <v>0.28946875472415323</v>
      </c>
      <c r="O72">
        <f t="shared" ca="1" si="18"/>
        <v>1</v>
      </c>
      <c r="P72">
        <f t="shared" ca="1" si="26"/>
        <v>-2.11403720705481E-3</v>
      </c>
      <c r="Q72">
        <f t="shared" ca="1" si="27"/>
        <v>-1.2765663814518317E-2</v>
      </c>
      <c r="R72">
        <f t="shared" ca="1" si="28"/>
        <v>1.3404077073443149E-2</v>
      </c>
      <c r="S72">
        <f t="shared" ca="1" si="29"/>
        <v>5.1735874744724972E-3</v>
      </c>
      <c r="T72">
        <f t="shared" ca="1" si="30"/>
        <v>1.2406860673827977E-3</v>
      </c>
      <c r="U72">
        <f t="shared" ca="1" si="31"/>
        <v>1375.9813599915317</v>
      </c>
      <c r="V72">
        <f t="shared" ca="1" si="32"/>
        <v>4.0731050524823731E-3</v>
      </c>
      <c r="W72" t="b">
        <f t="shared" ca="1" si="19"/>
        <v>1</v>
      </c>
      <c r="X72" t="b">
        <f t="shared" ca="1" si="20"/>
        <v>1</v>
      </c>
      <c r="Y72" t="b">
        <f t="shared" ca="1" si="21"/>
        <v>1</v>
      </c>
    </row>
    <row r="73" spans="1:25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17"/>
        <v>0</v>
      </c>
      <c r="K73">
        <f t="shared" ca="1" si="22"/>
        <v>0.23572623387918282</v>
      </c>
      <c r="L73">
        <f t="shared" ca="1" si="23"/>
        <v>0.23566344224733082</v>
      </c>
      <c r="M73">
        <f t="shared" ca="1" si="24"/>
        <v>0.24033566692554637</v>
      </c>
      <c r="N73">
        <f t="shared" ca="1" si="25"/>
        <v>0.28827465694793997</v>
      </c>
      <c r="O73">
        <f t="shared" ca="1" si="18"/>
        <v>1</v>
      </c>
      <c r="P73">
        <f t="shared" ca="1" si="26"/>
        <v>1.210580473335864E-4</v>
      </c>
      <c r="Q73">
        <f t="shared" ca="1" si="27"/>
        <v>9.2961487383799012E-3</v>
      </c>
      <c r="R73">
        <f t="shared" ca="1" si="28"/>
        <v>-2.6637273812804313E-2</v>
      </c>
      <c r="S73">
        <f t="shared" ca="1" si="29"/>
        <v>-1.1874125242674591E-2</v>
      </c>
      <c r="T73">
        <f t="shared" ca="1" si="30"/>
        <v>-7.7810879907750322E-3</v>
      </c>
      <c r="U73">
        <f t="shared" ca="1" si="31"/>
        <v>1365.2747279557714</v>
      </c>
      <c r="V73">
        <f t="shared" ca="1" si="32"/>
        <v>5.8499304614869352E-3</v>
      </c>
      <c r="W73" t="b">
        <f t="shared" ca="1" si="19"/>
        <v>1</v>
      </c>
      <c r="X73" t="b">
        <f t="shared" ca="1" si="20"/>
        <v>1</v>
      </c>
      <c r="Y73" t="b">
        <f t="shared" ca="1" si="21"/>
        <v>1</v>
      </c>
    </row>
    <row r="74" spans="1:25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17"/>
        <v>0</v>
      </c>
      <c r="K74">
        <f t="shared" ca="1" si="22"/>
        <v>0.23825612905039817</v>
      </c>
      <c r="L74">
        <f t="shared" ca="1" si="23"/>
        <v>0.23606640845896421</v>
      </c>
      <c r="M74">
        <f t="shared" ca="1" si="24"/>
        <v>0.23776102819178238</v>
      </c>
      <c r="N74">
        <f t="shared" ca="1" si="25"/>
        <v>0.28791643429885522</v>
      </c>
      <c r="O74">
        <f t="shared" ca="1" si="18"/>
        <v>1</v>
      </c>
      <c r="P74">
        <f t="shared" ca="1" si="26"/>
        <v>7.5046904315197553E-3</v>
      </c>
      <c r="Q74">
        <f t="shared" ca="1" si="27"/>
        <v>-1.4889196675900512E-3</v>
      </c>
      <c r="R74">
        <f t="shared" ca="1" si="28"/>
        <v>-1.3871850523733121E-2</v>
      </c>
      <c r="S74">
        <f t="shared" ca="1" si="29"/>
        <v>-4.4320570227543961E-3</v>
      </c>
      <c r="T74">
        <f t="shared" ca="1" si="30"/>
        <v>-3.1933816871638526E-3</v>
      </c>
      <c r="U74">
        <f t="shared" ca="1" si="31"/>
        <v>1360.9148846415699</v>
      </c>
      <c r="V74">
        <f t="shared" ca="1" si="32"/>
        <v>2.9328613828487338E-3</v>
      </c>
      <c r="W74" t="b">
        <f t="shared" ca="1" si="19"/>
        <v>1</v>
      </c>
      <c r="X74" t="b">
        <f t="shared" ca="1" si="20"/>
        <v>1</v>
      </c>
      <c r="Y74" t="b">
        <f t="shared" ca="1" si="21"/>
        <v>1</v>
      </c>
    </row>
    <row r="75" spans="1:25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17"/>
        <v>0</v>
      </c>
      <c r="K75">
        <f t="shared" ca="1" si="22"/>
        <v>0.24037214254512387</v>
      </c>
      <c r="L75">
        <f t="shared" ca="1" si="23"/>
        <v>0.23658050041781487</v>
      </c>
      <c r="M75">
        <f t="shared" ca="1" si="24"/>
        <v>0.23748327006124859</v>
      </c>
      <c r="N75">
        <f t="shared" ca="1" si="25"/>
        <v>0.2855640869758127</v>
      </c>
      <c r="O75">
        <f t="shared" ca="1" si="18"/>
        <v>1</v>
      </c>
      <c r="P75">
        <f t="shared" ca="1" si="26"/>
        <v>6.9682225025529919E-3</v>
      </c>
      <c r="Q75">
        <f t="shared" ca="1" si="27"/>
        <v>2.7742136838084436E-4</v>
      </c>
      <c r="R75">
        <f t="shared" ca="1" si="28"/>
        <v>-3.0622009569377336E-3</v>
      </c>
      <c r="S75">
        <f t="shared" ca="1" si="29"/>
        <v>-1.0050943136444985E-2</v>
      </c>
      <c r="T75">
        <f t="shared" ca="1" si="30"/>
        <v>-1.8961921713535768E-3</v>
      </c>
      <c r="U75">
        <f t="shared" ca="1" si="31"/>
        <v>1358.334328491434</v>
      </c>
      <c r="V75">
        <f t="shared" ca="1" si="32"/>
        <v>2.6301054535763368E-3</v>
      </c>
      <c r="W75" t="b">
        <f t="shared" ca="1" si="19"/>
        <v>1</v>
      </c>
      <c r="X75" t="b">
        <f t="shared" ca="1" si="20"/>
        <v>1</v>
      </c>
      <c r="Y75" t="b">
        <f t="shared" ca="1" si="21"/>
        <v>1</v>
      </c>
    </row>
    <row r="76" spans="1:25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17"/>
        <v>0</v>
      </c>
      <c r="K76">
        <f t="shared" ca="1" si="22"/>
        <v>0.23999309415726802</v>
      </c>
      <c r="L76">
        <f t="shared" ca="1" si="23"/>
        <v>0.23566901009608754</v>
      </c>
      <c r="M76">
        <f t="shared" ca="1" si="24"/>
        <v>0.24104428018479337</v>
      </c>
      <c r="N76">
        <f t="shared" ca="1" si="25"/>
        <v>0.28329361556185112</v>
      </c>
      <c r="O76">
        <f t="shared" ca="1" si="18"/>
        <v>1</v>
      </c>
      <c r="P76">
        <f t="shared" ca="1" si="26"/>
        <v>-5.8462089124857713E-3</v>
      </c>
      <c r="Q76">
        <f t="shared" ca="1" si="27"/>
        <v>-8.1123244929796334E-3</v>
      </c>
      <c r="R76">
        <f t="shared" ca="1" si="28"/>
        <v>1.0654636206565553E-2</v>
      </c>
      <c r="S76">
        <f t="shared" ca="1" si="29"/>
        <v>-1.2192860454334703E-2</v>
      </c>
      <c r="T76">
        <f t="shared" ca="1" si="30"/>
        <v>-4.2760287657788391E-3</v>
      </c>
      <c r="U76">
        <f t="shared" ca="1" si="31"/>
        <v>1352.5260518292598</v>
      </c>
      <c r="V76">
        <f t="shared" ca="1" si="32"/>
        <v>3.561010123544775E-3</v>
      </c>
      <c r="W76" t="b">
        <f t="shared" ca="1" si="19"/>
        <v>1</v>
      </c>
      <c r="X76" t="b">
        <f t="shared" ca="1" si="20"/>
        <v>1</v>
      </c>
      <c r="Y76" t="b">
        <f t="shared" ca="1" si="21"/>
        <v>1</v>
      </c>
    </row>
    <row r="77" spans="1:25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17"/>
        <v>0</v>
      </c>
      <c r="K77">
        <f t="shared" ca="1" si="22"/>
        <v>0.23826528016783852</v>
      </c>
      <c r="L77">
        <f t="shared" ca="1" si="23"/>
        <v>0.23599436306629523</v>
      </c>
      <c r="M77">
        <f t="shared" ca="1" si="24"/>
        <v>0.24194813020995479</v>
      </c>
      <c r="N77">
        <f t="shared" ca="1" si="25"/>
        <v>0.28379222655591135</v>
      </c>
      <c r="O77">
        <f t="shared" ca="1" si="18"/>
        <v>0.99999999999999978</v>
      </c>
      <c r="P77">
        <f t="shared" ca="1" si="26"/>
        <v>-9.7809780978097526E-3</v>
      </c>
      <c r="Q77">
        <f t="shared" ca="1" si="27"/>
        <v>-1.2233057215756972E-3</v>
      </c>
      <c r="R77">
        <f t="shared" ca="1" si="28"/>
        <v>1.1397093741095101E-3</v>
      </c>
      <c r="S77">
        <f t="shared" ca="1" si="29"/>
        <v>-8.4479279110154801E-4</v>
      </c>
      <c r="T77">
        <f t="shared" ca="1" si="30"/>
        <v>-2.6002664245161136E-3</v>
      </c>
      <c r="U77">
        <f t="shared" ca="1" si="31"/>
        <v>1349.0091237484048</v>
      </c>
      <c r="V77">
        <f t="shared" ca="1" si="32"/>
        <v>1.727813989429422E-3</v>
      </c>
      <c r="W77" t="b">
        <f t="shared" ca="1" si="19"/>
        <v>1</v>
      </c>
      <c r="X77" t="b">
        <f t="shared" ca="1" si="20"/>
        <v>1</v>
      </c>
      <c r="Y77" t="b">
        <f t="shared" ca="1" si="21"/>
        <v>1</v>
      </c>
    </row>
    <row r="78" spans="1:25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17"/>
        <v>0</v>
      </c>
      <c r="K78">
        <f t="shared" ca="1" si="22"/>
        <v>0.23911829422153072</v>
      </c>
      <c r="L78">
        <f t="shared" ca="1" si="23"/>
        <v>0.23309443410839281</v>
      </c>
      <c r="M78">
        <f t="shared" ca="1" si="24"/>
        <v>0.24364659716871506</v>
      </c>
      <c r="N78">
        <f t="shared" ca="1" si="25"/>
        <v>0.28414067450136143</v>
      </c>
      <c r="O78">
        <f t="shared" ca="1" si="18"/>
        <v>1</v>
      </c>
      <c r="P78">
        <f t="shared" ca="1" si="26"/>
        <v>1.8785601745243137E-3</v>
      </c>
      <c r="Q78">
        <f t="shared" ca="1" si="27"/>
        <v>-1.3962765957446841E-2</v>
      </c>
      <c r="R78">
        <f t="shared" ca="1" si="28"/>
        <v>5.3125889384309103E-3</v>
      </c>
      <c r="S78">
        <f t="shared" ca="1" si="29"/>
        <v>-4.697261496547246E-4</v>
      </c>
      <c r="T78">
        <f t="shared" ca="1" si="30"/>
        <v>-1.6954720621308401E-3</v>
      </c>
      <c r="U78">
        <f t="shared" ca="1" si="31"/>
        <v>1346.7219164675298</v>
      </c>
      <c r="V78">
        <f t="shared" ca="1" si="32"/>
        <v>2.8999289579024895E-3</v>
      </c>
      <c r="W78" t="b">
        <f t="shared" ca="1" si="19"/>
        <v>1</v>
      </c>
      <c r="X78" t="b">
        <f t="shared" ca="1" si="20"/>
        <v>1</v>
      </c>
      <c r="Y78" t="b">
        <f t="shared" ca="1" si="21"/>
        <v>1</v>
      </c>
    </row>
    <row r="79" spans="1:25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17"/>
        <v>0</v>
      </c>
      <c r="K79">
        <f t="shared" ca="1" si="22"/>
        <v>0.24154331146166697</v>
      </c>
      <c r="L79">
        <f t="shared" ca="1" si="23"/>
        <v>0.23234437040579314</v>
      </c>
      <c r="M79">
        <f t="shared" ca="1" si="24"/>
        <v>0.2434912984391365</v>
      </c>
      <c r="N79">
        <f t="shared" ca="1" si="25"/>
        <v>0.28262101969340336</v>
      </c>
      <c r="O79">
        <f t="shared" ca="1" si="18"/>
        <v>1</v>
      </c>
      <c r="P79">
        <f t="shared" ca="1" si="26"/>
        <v>-9.4356741063328017E-3</v>
      </c>
      <c r="Q79">
        <f t="shared" ca="1" si="27"/>
        <v>-2.2536111012527827E-2</v>
      </c>
      <c r="R79">
        <f t="shared" ca="1" si="28"/>
        <v>-2.0005661979805647E-2</v>
      </c>
      <c r="S79">
        <f t="shared" ca="1" si="29"/>
        <v>-2.4625217350439311E-2</v>
      </c>
      <c r="T79">
        <f t="shared" ca="1" si="30"/>
        <v>-1.9380621673789299E-2</v>
      </c>
      <c r="U79">
        <f t="shared" ca="1" si="31"/>
        <v>1320.6216085046722</v>
      </c>
      <c r="V79">
        <f t="shared" ca="1" si="32"/>
        <v>2.4250172401362735E-3</v>
      </c>
      <c r="W79" t="b">
        <f t="shared" ca="1" si="19"/>
        <v>1</v>
      </c>
      <c r="X79" t="b">
        <f t="shared" ca="1" si="20"/>
        <v>1</v>
      </c>
      <c r="Y79" t="b">
        <f t="shared" ca="1" si="21"/>
        <v>1</v>
      </c>
    </row>
    <row r="80" spans="1:25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17"/>
        <v>0</v>
      </c>
      <c r="K80">
        <f t="shared" ca="1" si="22"/>
        <v>0.23702369683885596</v>
      </c>
      <c r="L80">
        <f t="shared" ca="1" si="23"/>
        <v>0.24452672657747984</v>
      </c>
      <c r="M80">
        <f t="shared" ca="1" si="24"/>
        <v>0.23862769698437761</v>
      </c>
      <c r="N80">
        <f t="shared" ca="1" si="25"/>
        <v>0.27982187959928667</v>
      </c>
      <c r="O80">
        <f t="shared" ca="1" si="18"/>
        <v>1</v>
      </c>
      <c r="P80">
        <f t="shared" ca="1" si="26"/>
        <v>-6.106124442827946E-5</v>
      </c>
      <c r="Q80">
        <f t="shared" ca="1" si="27"/>
        <v>7.2434826809962924E-2</v>
      </c>
      <c r="R80">
        <f t="shared" ca="1" si="28"/>
        <v>-1.3480982185845023E-3</v>
      </c>
      <c r="S80">
        <f t="shared" ca="1" si="29"/>
        <v>8.9135148157070306E-3</v>
      </c>
      <c r="T80">
        <f t="shared" ca="1" si="30"/>
        <v>1.9005971756033076E-2</v>
      </c>
      <c r="U80">
        <f t="shared" ca="1" si="31"/>
        <v>1345.721305496319</v>
      </c>
      <c r="V80">
        <f t="shared" ca="1" si="32"/>
        <v>1.2182356171686642E-2</v>
      </c>
      <c r="W80" t="b">
        <f t="shared" ca="1" si="19"/>
        <v>1</v>
      </c>
      <c r="X80" t="b">
        <f t="shared" ca="1" si="20"/>
        <v>1</v>
      </c>
      <c r="Y80" t="b">
        <f t="shared" ca="1" si="21"/>
        <v>1</v>
      </c>
    </row>
    <row r="81" spans="1:25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17"/>
        <v>0</v>
      </c>
      <c r="K81">
        <f t="shared" ca="1" si="22"/>
        <v>0.22942504355893523</v>
      </c>
      <c r="L81">
        <f t="shared" ca="1" si="23"/>
        <v>0.23752354494832695</v>
      </c>
      <c r="M81">
        <f t="shared" ca="1" si="24"/>
        <v>0.23300279584443731</v>
      </c>
      <c r="N81">
        <f t="shared" ca="1" si="25"/>
        <v>0.3000486156483006</v>
      </c>
      <c r="O81">
        <f t="shared" ca="1" si="18"/>
        <v>1</v>
      </c>
      <c r="P81">
        <f t="shared" ca="1" si="26"/>
        <v>2.8395212506106535E-2</v>
      </c>
      <c r="Q81">
        <f t="shared" ca="1" si="27"/>
        <v>3.2027626366929546E-2</v>
      </c>
      <c r="R81">
        <f t="shared" ca="1" si="28"/>
        <v>3.741201427056224E-2</v>
      </c>
      <c r="S81">
        <f t="shared" ca="1" si="29"/>
        <v>0.13925501432664755</v>
      </c>
      <c r="T81">
        <f t="shared" ca="1" si="30"/>
        <v>6.2456091533713197E-2</v>
      </c>
      <c r="U81">
        <f t="shared" ca="1" si="31"/>
        <v>1429.769798531265</v>
      </c>
      <c r="V81">
        <f t="shared" ca="1" si="32"/>
        <v>2.0226736049013927E-2</v>
      </c>
      <c r="W81" t="b">
        <f t="shared" ca="1" si="19"/>
        <v>1</v>
      </c>
      <c r="X81" t="b">
        <f t="shared" ca="1" si="20"/>
        <v>1</v>
      </c>
      <c r="Y81" t="b">
        <f t="shared" ca="1" si="21"/>
        <v>1</v>
      </c>
    </row>
    <row r="82" spans="1:25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17"/>
        <v>1</v>
      </c>
      <c r="K82">
        <f t="shared" ca="1" si="22"/>
        <v>0.25</v>
      </c>
      <c r="L82">
        <f t="shared" ca="1" si="23"/>
        <v>0.25</v>
      </c>
      <c r="M82">
        <f t="shared" ca="1" si="24"/>
        <v>0.25</v>
      </c>
      <c r="N82">
        <f t="shared" ca="1" si="25"/>
        <v>0.30066996524432432</v>
      </c>
      <c r="O82">
        <f t="shared" ca="1" si="18"/>
        <v>1.0506699652443243</v>
      </c>
      <c r="P82">
        <f t="shared" ca="1" si="26"/>
        <v>7.5411198859925794E-3</v>
      </c>
      <c r="Q82">
        <f t="shared" ca="1" si="27"/>
        <v>7.9716563330381098E-3</v>
      </c>
      <c r="R82">
        <f t="shared" ca="1" si="28"/>
        <v>-2.3236360256529416E-3</v>
      </c>
      <c r="S82">
        <f t="shared" ca="1" si="29"/>
        <v>7.3775989268946634E-3</v>
      </c>
      <c r="T82">
        <f t="shared" ca="1" si="30"/>
        <v>5.2958024839811326E-3</v>
      </c>
      <c r="U82">
        <f t="shared" ca="1" si="31"/>
        <v>1437.341576981848</v>
      </c>
      <c r="V82">
        <f t="shared" ca="1" si="32"/>
        <v>2.5334982622162119E-2</v>
      </c>
      <c r="W82" t="b">
        <f t="shared" ca="1" si="19"/>
        <v>1</v>
      </c>
      <c r="X82" t="b">
        <f t="shared" ca="1" si="20"/>
        <v>1</v>
      </c>
      <c r="Y82" t="b">
        <f t="shared" ca="1" si="21"/>
        <v>1</v>
      </c>
    </row>
    <row r="83" spans="1:25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17"/>
        <v>0</v>
      </c>
      <c r="K83">
        <f t="shared" ca="1" si="22"/>
        <v>0.23742483658199312</v>
      </c>
      <c r="L83">
        <f t="shared" ca="1" si="23"/>
        <v>0.23623652098332396</v>
      </c>
      <c r="M83">
        <f t="shared" ca="1" si="24"/>
        <v>0.23724100629218037</v>
      </c>
      <c r="N83">
        <f t="shared" ca="1" si="25"/>
        <v>0.28909763614250256</v>
      </c>
      <c r="O83">
        <f t="shared" ca="1" si="18"/>
        <v>1</v>
      </c>
      <c r="P83">
        <f t="shared" ca="1" si="26"/>
        <v>-5.3041018387555046E-4</v>
      </c>
      <c r="Q83">
        <f t="shared" ca="1" si="27"/>
        <v>-5.5327735468332639E-3</v>
      </c>
      <c r="R83">
        <f t="shared" ca="1" si="28"/>
        <v>-1.3042668157257366E-3</v>
      </c>
      <c r="S83">
        <f t="shared" ca="1" si="29"/>
        <v>1.1900798934753719E-2</v>
      </c>
      <c r="T83">
        <f t="shared" ca="1" si="30"/>
        <v>1.7363501654834549E-3</v>
      </c>
      <c r="U83">
        <f t="shared" ca="1" si="31"/>
        <v>1439.8373052668967</v>
      </c>
      <c r="V83">
        <f t="shared" ca="1" si="32"/>
        <v>2.5334982622162161E-2</v>
      </c>
      <c r="W83" t="b">
        <f t="shared" ca="1" si="19"/>
        <v>1</v>
      </c>
      <c r="X83" t="b">
        <f t="shared" ca="1" si="20"/>
        <v>1</v>
      </c>
      <c r="Y83" t="b">
        <f t="shared" ca="1" si="21"/>
        <v>1</v>
      </c>
    </row>
    <row r="84" spans="1:25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17"/>
        <v>0</v>
      </c>
      <c r="K84">
        <f t="shared" ca="1" si="22"/>
        <v>0.23844190943848304</v>
      </c>
      <c r="L84">
        <f t="shared" ca="1" si="23"/>
        <v>0.23860936430377847</v>
      </c>
      <c r="M84">
        <f t="shared" ca="1" si="24"/>
        <v>0.23553720456754262</v>
      </c>
      <c r="N84">
        <f t="shared" ca="1" si="25"/>
        <v>0.2874115216901959</v>
      </c>
      <c r="O84">
        <f t="shared" ca="1" si="18"/>
        <v>1</v>
      </c>
      <c r="P84">
        <f t="shared" ca="1" si="26"/>
        <v>-6.1914027949761859E-3</v>
      </c>
      <c r="Q84">
        <f t="shared" ca="1" si="27"/>
        <v>-4.9090195051700893E-4</v>
      </c>
      <c r="R84">
        <f t="shared" ca="1" si="28"/>
        <v>-1.7537313432835912E-2</v>
      </c>
      <c r="S84">
        <f t="shared" ca="1" si="29"/>
        <v>-1.6201990295254536E-2</v>
      </c>
      <c r="T84">
        <f t="shared" ca="1" si="30"/>
        <v>-1.04304887473738E-2</v>
      </c>
      <c r="U84">
        <f t="shared" ca="1" si="31"/>
        <v>1424.8190984562611</v>
      </c>
      <c r="V84">
        <f t="shared" ca="1" si="32"/>
        <v>3.3899161769444103E-3</v>
      </c>
      <c r="W84" t="b">
        <f t="shared" ca="1" si="19"/>
        <v>1</v>
      </c>
      <c r="X84" t="b">
        <f t="shared" ca="1" si="20"/>
        <v>1</v>
      </c>
      <c r="Y84" t="b">
        <f t="shared" ca="1" si="21"/>
        <v>1</v>
      </c>
    </row>
    <row r="85" spans="1:25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17"/>
        <v>0</v>
      </c>
      <c r="K85">
        <f t="shared" ca="1" si="22"/>
        <v>0.23803881909684946</v>
      </c>
      <c r="L85">
        <f t="shared" ca="1" si="23"/>
        <v>0.2389636881881321</v>
      </c>
      <c r="M85">
        <f t="shared" ca="1" si="24"/>
        <v>0.2368718833419815</v>
      </c>
      <c r="N85">
        <f t="shared" ca="1" si="25"/>
        <v>0.28612560937303699</v>
      </c>
      <c r="O85">
        <f t="shared" ca="1" si="18"/>
        <v>1</v>
      </c>
      <c r="P85">
        <f t="shared" ca="1" si="26"/>
        <v>-6.4673074641034972E-3</v>
      </c>
      <c r="Q85">
        <f t="shared" ca="1" si="27"/>
        <v>-3.3070298942406854E-3</v>
      </c>
      <c r="R85">
        <f t="shared" ca="1" si="28"/>
        <v>8.5453854918347339E-4</v>
      </c>
      <c r="S85">
        <f t="shared" ca="1" si="29"/>
        <v>-9.2375856880120705E-3</v>
      </c>
      <c r="T85">
        <f t="shared" ca="1" si="30"/>
        <v>-4.784878379730198E-3</v>
      </c>
      <c r="U85">
        <f t="shared" ca="1" si="31"/>
        <v>1418.0015123570311</v>
      </c>
      <c r="V85">
        <f t="shared" ca="1" si="32"/>
        <v>1.6890026587925017E-3</v>
      </c>
      <c r="W85" t="b">
        <f t="shared" ca="1" si="19"/>
        <v>1</v>
      </c>
      <c r="X85" t="b">
        <f t="shared" ca="1" si="20"/>
        <v>1</v>
      </c>
      <c r="Y85" t="b">
        <f t="shared" ca="1" si="21"/>
        <v>1</v>
      </c>
    </row>
    <row r="86" spans="1:25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17"/>
        <v>0</v>
      </c>
      <c r="K86">
        <f t="shared" ca="1" si="22"/>
        <v>0.23744129957235499</v>
      </c>
      <c r="L86">
        <f t="shared" ca="1" si="23"/>
        <v>0.24154931562298568</v>
      </c>
      <c r="M86">
        <f t="shared" ca="1" si="24"/>
        <v>0.23701301418914356</v>
      </c>
      <c r="N86">
        <f t="shared" ca="1" si="25"/>
        <v>0.28399637061551575</v>
      </c>
      <c r="O86">
        <f t="shared" ca="1" si="18"/>
        <v>1</v>
      </c>
      <c r="P86">
        <f t="shared" ca="1" si="26"/>
        <v>-9.913406987160327E-3</v>
      </c>
      <c r="Q86">
        <f t="shared" ca="1" si="27"/>
        <v>3.3180026281210508E-3</v>
      </c>
      <c r="R86">
        <f t="shared" ca="1" si="28"/>
        <v>-6.830471492268275E-3</v>
      </c>
      <c r="S86">
        <f t="shared" ca="1" si="29"/>
        <v>-1.4808252119984773E-2</v>
      </c>
      <c r="T86">
        <f t="shared" ca="1" si="30"/>
        <v>-7.42186035508389E-3</v>
      </c>
      <c r="U86">
        <f t="shared" ca="1" si="31"/>
        <v>1407.4773031490195</v>
      </c>
      <c r="V86">
        <f t="shared" ca="1" si="32"/>
        <v>2.7267582820156705E-3</v>
      </c>
      <c r="W86" t="b">
        <f t="shared" ca="1" si="19"/>
        <v>1</v>
      </c>
      <c r="X86" t="b">
        <f t="shared" ca="1" si="20"/>
        <v>1</v>
      </c>
      <c r="Y86" t="b">
        <f t="shared" ca="1" si="21"/>
        <v>1</v>
      </c>
    </row>
    <row r="87" spans="1:25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17"/>
        <v>0</v>
      </c>
      <c r="K87">
        <f t="shared" ca="1" si="22"/>
        <v>0.24457772566549615</v>
      </c>
      <c r="L87">
        <f t="shared" ca="1" si="23"/>
        <v>0.24173427135650669</v>
      </c>
      <c r="M87">
        <f t="shared" ca="1" si="24"/>
        <v>0.23515370450338111</v>
      </c>
      <c r="N87">
        <f t="shared" ca="1" si="25"/>
        <v>0.27853429847461603</v>
      </c>
      <c r="O87">
        <f t="shared" ca="1" si="18"/>
        <v>1</v>
      </c>
      <c r="P87">
        <f t="shared" ca="1" si="26"/>
        <v>4.6926835152904287E-2</v>
      </c>
      <c r="Q87">
        <f t="shared" ca="1" si="27"/>
        <v>1.7157264005762587E-2</v>
      </c>
      <c r="R87">
        <f t="shared" ca="1" si="28"/>
        <v>8.4057694144617015E-3</v>
      </c>
      <c r="S87">
        <f t="shared" ca="1" si="29"/>
        <v>-3.1688934566632796E-3</v>
      </c>
      <c r="T87">
        <f t="shared" ca="1" si="30"/>
        <v>1.6379016607018952E-2</v>
      </c>
      <c r="U87">
        <f t="shared" ca="1" si="31"/>
        <v>1430.5303972712995</v>
      </c>
      <c r="V87">
        <f t="shared" ca="1" si="32"/>
        <v>7.3213818266621711E-3</v>
      </c>
      <c r="W87" t="b">
        <f t="shared" ca="1" si="19"/>
        <v>1</v>
      </c>
      <c r="X87" t="b">
        <f t="shared" ca="1" si="20"/>
        <v>1</v>
      </c>
      <c r="Y87" t="b">
        <f t="shared" ca="1" si="21"/>
        <v>1</v>
      </c>
    </row>
    <row r="88" spans="1:25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17"/>
        <v>0</v>
      </c>
      <c r="K88">
        <f t="shared" ca="1" si="22"/>
        <v>0.24354587186030477</v>
      </c>
      <c r="L88">
        <f t="shared" ca="1" si="23"/>
        <v>0.23926116005677447</v>
      </c>
      <c r="M88">
        <f t="shared" ca="1" si="24"/>
        <v>0.23913780625490352</v>
      </c>
      <c r="N88">
        <f t="shared" ca="1" si="25"/>
        <v>0.27805516182801721</v>
      </c>
      <c r="O88">
        <f t="shared" ca="1" si="18"/>
        <v>1</v>
      </c>
      <c r="P88">
        <f t="shared" ca="1" si="26"/>
        <v>-4.0329550037444941E-4</v>
      </c>
      <c r="Q88">
        <f t="shared" ca="1" si="27"/>
        <v>-6.4381136327056176E-3</v>
      </c>
      <c r="R88">
        <f t="shared" ca="1" si="28"/>
        <v>2.0839253575826493E-2</v>
      </c>
      <c r="S88">
        <f t="shared" ca="1" si="29"/>
        <v>2.1049918377867905E-3</v>
      </c>
      <c r="T88">
        <f t="shared" ca="1" si="30"/>
        <v>3.8317902981084722E-3</v>
      </c>
      <c r="U88">
        <f t="shared" ca="1" si="31"/>
        <v>1436.011889768713</v>
      </c>
      <c r="V88">
        <f t="shared" ca="1" si="32"/>
        <v>3.9841017515224175E-3</v>
      </c>
      <c r="W88" t="b">
        <f t="shared" ca="1" si="19"/>
        <v>1</v>
      </c>
      <c r="X88" t="b">
        <f t="shared" ca="1" si="20"/>
        <v>1</v>
      </c>
      <c r="Y88" t="b">
        <f t="shared" ca="1" si="21"/>
        <v>1</v>
      </c>
    </row>
    <row r="89" spans="1:25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17"/>
        <v>0</v>
      </c>
      <c r="K89">
        <f t="shared" ca="1" si="22"/>
        <v>0.24221229509287007</v>
      </c>
      <c r="L89">
        <f t="shared" ca="1" si="23"/>
        <v>0.23906272962366784</v>
      </c>
      <c r="M89">
        <f t="shared" ca="1" si="24"/>
        <v>0.23928748357687282</v>
      </c>
      <c r="N89">
        <f t="shared" ca="1" si="25"/>
        <v>0.27943749170658921</v>
      </c>
      <c r="O89">
        <f t="shared" ca="1" si="18"/>
        <v>1</v>
      </c>
      <c r="P89">
        <f t="shared" ca="1" si="26"/>
        <v>-9.9711815561959061E-3</v>
      </c>
      <c r="Q89">
        <f t="shared" ca="1" si="27"/>
        <v>-5.3458610076137286E-3</v>
      </c>
      <c r="R89">
        <f t="shared" ca="1" si="28"/>
        <v>-3.8971884568989672E-3</v>
      </c>
      <c r="S89">
        <f t="shared" ca="1" si="29"/>
        <v>4.2868778668493293E-4</v>
      </c>
      <c r="T89">
        <f t="shared" ca="1" si="30"/>
        <v>-4.5202632580094385E-3</v>
      </c>
      <c r="U89">
        <f t="shared" ca="1" si="31"/>
        <v>1429.5207379853268</v>
      </c>
      <c r="V89">
        <f t="shared" ca="1" si="32"/>
        <v>1.5320072005413216E-3</v>
      </c>
      <c r="W89" t="b">
        <f t="shared" ca="1" si="19"/>
        <v>1</v>
      </c>
      <c r="X89" t="b">
        <f t="shared" ca="1" si="20"/>
        <v>1</v>
      </c>
      <c r="Y89" t="b">
        <f t="shared" ca="1" si="21"/>
        <v>1</v>
      </c>
    </row>
    <row r="90" spans="1:25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17"/>
        <v>0</v>
      </c>
      <c r="K90">
        <f t="shared" ca="1" si="22"/>
        <v>0.2408486479433691</v>
      </c>
      <c r="L90">
        <f t="shared" ca="1" si="23"/>
        <v>0.23934127616836853</v>
      </c>
      <c r="M90">
        <f t="shared" ca="1" si="24"/>
        <v>0.2451453608849169</v>
      </c>
      <c r="N90">
        <f t="shared" ca="1" si="25"/>
        <v>0.27466471500334538</v>
      </c>
      <c r="O90">
        <f t="shared" ca="1" si="18"/>
        <v>1</v>
      </c>
      <c r="P90">
        <f t="shared" ca="1" si="26"/>
        <v>1.0391802992373501E-2</v>
      </c>
      <c r="Q90">
        <f t="shared" ca="1" si="27"/>
        <v>1.7296416938110758E-2</v>
      </c>
      <c r="R90">
        <f t="shared" ca="1" si="28"/>
        <v>4.098742431299493E-2</v>
      </c>
      <c r="S90">
        <f t="shared" ca="1" si="29"/>
        <v>-1.2426618674207998E-3</v>
      </c>
      <c r="T90">
        <f t="shared" ca="1" si="30"/>
        <v>1.6112482405752138E-2</v>
      </c>
      <c r="U90">
        <f t="shared" ca="1" si="31"/>
        <v>1452.5538657247732</v>
      </c>
      <c r="V90">
        <f t="shared" ca="1" si="32"/>
        <v>6.1364238527447795E-3</v>
      </c>
      <c r="W90" t="b">
        <f t="shared" ca="1" si="19"/>
        <v>1</v>
      </c>
      <c r="X90" t="b">
        <f t="shared" ca="1" si="20"/>
        <v>1</v>
      </c>
      <c r="Y90" t="b">
        <f t="shared" ca="1" si="21"/>
        <v>1</v>
      </c>
    </row>
    <row r="91" spans="1:25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17"/>
        <v>0</v>
      </c>
      <c r="K91">
        <f t="shared" ca="1" si="22"/>
        <v>0.23817735418315553</v>
      </c>
      <c r="L91">
        <f t="shared" ca="1" si="23"/>
        <v>0.23475565004769822</v>
      </c>
      <c r="M91">
        <f t="shared" ca="1" si="24"/>
        <v>0.25259893450518905</v>
      </c>
      <c r="N91">
        <f t="shared" ca="1" si="25"/>
        <v>0.27446806126395717</v>
      </c>
      <c r="O91">
        <f t="shared" ca="1" si="18"/>
        <v>1</v>
      </c>
      <c r="P91">
        <f t="shared" ca="1" si="26"/>
        <v>1.1235631356053884E-3</v>
      </c>
      <c r="Q91">
        <f t="shared" ca="1" si="27"/>
        <v>-7.0442829240177666E-3</v>
      </c>
      <c r="R91">
        <f t="shared" ca="1" si="28"/>
        <v>4.3131991051454079E-2</v>
      </c>
      <c r="S91">
        <f t="shared" ca="1" si="29"/>
        <v>1.1626909215719836E-2</v>
      </c>
      <c r="T91">
        <f t="shared" ca="1" si="30"/>
        <v>1.2351730215463286E-2</v>
      </c>
      <c r="U91">
        <f t="shared" ca="1" si="31"/>
        <v>1470.4954191976337</v>
      </c>
      <c r="V91">
        <f t="shared" ca="1" si="32"/>
        <v>7.4535736202721303E-3</v>
      </c>
      <c r="W91" t="b">
        <f t="shared" ca="1" si="19"/>
        <v>1</v>
      </c>
      <c r="X91" t="b">
        <f t="shared" ca="1" si="20"/>
        <v>1</v>
      </c>
      <c r="Y91" t="b">
        <f t="shared" ca="1" si="21"/>
        <v>1</v>
      </c>
    </row>
    <row r="92" spans="1:25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17"/>
        <v>0</v>
      </c>
      <c r="K92">
        <f t="shared" ca="1" si="22"/>
        <v>0.23721176110241443</v>
      </c>
      <c r="L92">
        <f t="shared" ca="1" si="23"/>
        <v>0.23453726739604383</v>
      </c>
      <c r="M92">
        <f t="shared" ca="1" si="24"/>
        <v>0.25533762207018212</v>
      </c>
      <c r="N92">
        <f t="shared" ca="1" si="25"/>
        <v>0.27291334943135953</v>
      </c>
      <c r="O92">
        <f t="shared" ca="1" si="18"/>
        <v>1</v>
      </c>
      <c r="P92">
        <f t="shared" ca="1" si="26"/>
        <v>-6.7913669064748597E-3</v>
      </c>
      <c r="Q92">
        <f t="shared" ca="1" si="27"/>
        <v>-3.6761149269613565E-3</v>
      </c>
      <c r="R92">
        <f t="shared" ca="1" si="28"/>
        <v>8.063824311572548E-3</v>
      </c>
      <c r="S92">
        <f t="shared" ca="1" si="29"/>
        <v>-8.3973026845921787E-3</v>
      </c>
      <c r="T92">
        <f t="shared" ca="1" si="30"/>
        <v>-2.7484165089464566E-3</v>
      </c>
      <c r="U92">
        <f t="shared" ca="1" si="31"/>
        <v>1466.4538853111808</v>
      </c>
      <c r="V92">
        <f t="shared" ca="1" si="32"/>
        <v>2.7386875649930975E-3</v>
      </c>
      <c r="W92" t="b">
        <f t="shared" ca="1" si="19"/>
        <v>1</v>
      </c>
      <c r="X92" t="b">
        <f t="shared" ca="1" si="20"/>
        <v>1</v>
      </c>
      <c r="Y92" t="b">
        <f t="shared" ca="1" si="21"/>
        <v>1</v>
      </c>
    </row>
    <row r="93" spans="1:25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17"/>
        <v>0</v>
      </c>
      <c r="K93">
        <f t="shared" ca="1" si="22"/>
        <v>0.2357215205623136</v>
      </c>
      <c r="L93">
        <f t="shared" ca="1" si="23"/>
        <v>0.23411175773751022</v>
      </c>
      <c r="M93">
        <f t="shared" ca="1" si="24"/>
        <v>0.25230528170107702</v>
      </c>
      <c r="N93">
        <f t="shared" ca="1" si="25"/>
        <v>0.27786143999909901</v>
      </c>
      <c r="O93">
        <f t="shared" ca="1" si="18"/>
        <v>0.99999999999999978</v>
      </c>
      <c r="P93">
        <f t="shared" ca="1" si="26"/>
        <v>-2.8973749782696878E-3</v>
      </c>
      <c r="Q93">
        <f t="shared" ca="1" si="27"/>
        <v>1.5859144900797883E-3</v>
      </c>
      <c r="R93">
        <f t="shared" ca="1" si="28"/>
        <v>-8.5099140498680961E-3</v>
      </c>
      <c r="S93">
        <f t="shared" ca="1" si="29"/>
        <v>2.159873401479839E-2</v>
      </c>
      <c r="T93">
        <f t="shared" ca="1" si="30"/>
        <v>3.4063462555983925E-3</v>
      </c>
      <c r="U93">
        <f t="shared" ca="1" si="31"/>
        <v>1471.4491350124183</v>
      </c>
      <c r="V93">
        <f t="shared" ca="1" si="32"/>
        <v>4.9480905677395104E-3</v>
      </c>
      <c r="W93" t="b">
        <f t="shared" ca="1" si="19"/>
        <v>1</v>
      </c>
      <c r="X93" t="b">
        <f t="shared" ca="1" si="20"/>
        <v>1</v>
      </c>
      <c r="Y93" t="b">
        <f t="shared" ca="1" si="21"/>
        <v>1</v>
      </c>
    </row>
    <row r="94" spans="1:25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17"/>
        <v>0</v>
      </c>
      <c r="K94">
        <f t="shared" ca="1" si="22"/>
        <v>0.2338101456242539</v>
      </c>
      <c r="L94">
        <f t="shared" ca="1" si="23"/>
        <v>0.23392430834143493</v>
      </c>
      <c r="M94">
        <f t="shared" ca="1" si="24"/>
        <v>0.25670333129419565</v>
      </c>
      <c r="N94">
        <f t="shared" ca="1" si="25"/>
        <v>0.27556221474011566</v>
      </c>
      <c r="O94">
        <f t="shared" ca="1" si="18"/>
        <v>1</v>
      </c>
      <c r="P94">
        <f t="shared" ca="1" si="26"/>
        <v>0</v>
      </c>
      <c r="Q94">
        <f t="shared" ca="1" si="27"/>
        <v>7.3676727202224186E-3</v>
      </c>
      <c r="R94">
        <f t="shared" ca="1" si="28"/>
        <v>2.5748862758561496E-2</v>
      </c>
      <c r="S94">
        <f t="shared" ca="1" si="29"/>
        <v>-1.6746211169731416E-4</v>
      </c>
      <c r="T94">
        <f t="shared" ca="1" si="30"/>
        <v>8.1749016192456964E-3</v>
      </c>
      <c r="U94">
        <f t="shared" ca="1" si="31"/>
        <v>1483.4780869288688</v>
      </c>
      <c r="V94">
        <f t="shared" ca="1" si="32"/>
        <v>4.398049593118486E-3</v>
      </c>
      <c r="W94" t="b">
        <f t="shared" ca="1" si="19"/>
        <v>1</v>
      </c>
      <c r="X94" t="b">
        <f t="shared" ca="1" si="20"/>
        <v>1</v>
      </c>
      <c r="Y94" t="b">
        <f t="shared" ca="1" si="21"/>
        <v>1</v>
      </c>
    </row>
    <row r="95" spans="1:25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17"/>
        <v>0</v>
      </c>
      <c r="K95">
        <f t="shared" ca="1" si="22"/>
        <v>0.23241584218255357</v>
      </c>
      <c r="L95">
        <f t="shared" ca="1" si="23"/>
        <v>0.23337418561536413</v>
      </c>
      <c r="M95">
        <f t="shared" ca="1" si="24"/>
        <v>0.2570859361280079</v>
      </c>
      <c r="N95">
        <f t="shared" ca="1" si="25"/>
        <v>0.27712403607407449</v>
      </c>
      <c r="O95">
        <f t="shared" ca="1" si="18"/>
        <v>1</v>
      </c>
      <c r="P95">
        <f t="shared" ca="1" si="26"/>
        <v>3.6031847503923088E-3</v>
      </c>
      <c r="Q95">
        <f t="shared" ca="1" si="27"/>
        <v>7.2496311028420824E-3</v>
      </c>
      <c r="R95">
        <f t="shared" ca="1" si="28"/>
        <v>1.1128775834658173E-2</v>
      </c>
      <c r="S95">
        <f t="shared" ca="1" si="29"/>
        <v>1.5346285905703127E-2</v>
      </c>
      <c r="T95">
        <f t="shared" ca="1" si="30"/>
        <v>9.6239764548568755E-3</v>
      </c>
      <c r="U95">
        <f t="shared" ca="1" si="31"/>
        <v>1497.7550451087684</v>
      </c>
      <c r="V95">
        <f t="shared" ca="1" si="32"/>
        <v>1.9444261677711017E-3</v>
      </c>
      <c r="W95" t="b">
        <f t="shared" ca="1" si="19"/>
        <v>1</v>
      </c>
      <c r="X95" t="b">
        <f t="shared" ca="1" si="20"/>
        <v>1</v>
      </c>
      <c r="Y95" t="b">
        <f t="shared" ca="1" si="21"/>
        <v>1</v>
      </c>
    </row>
    <row r="96" spans="1:25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17"/>
        <v>0</v>
      </c>
      <c r="K96">
        <f t="shared" ca="1" si="22"/>
        <v>0.23193722621812723</v>
      </c>
      <c r="L96">
        <f t="shared" ca="1" si="23"/>
        <v>0.2330610401037024</v>
      </c>
      <c r="M96">
        <f t="shared" ca="1" si="24"/>
        <v>0.25726568381481862</v>
      </c>
      <c r="N96">
        <f t="shared" ca="1" si="25"/>
        <v>0.27773604986335182</v>
      </c>
      <c r="O96">
        <f t="shared" ca="1" si="18"/>
        <v>1</v>
      </c>
      <c r="P96">
        <f t="shared" ca="1" si="26"/>
        <v>1.3666106896751483E-2</v>
      </c>
      <c r="Q96">
        <f t="shared" ca="1" si="27"/>
        <v>1.4394904458598668E-2</v>
      </c>
      <c r="R96">
        <f t="shared" ca="1" si="28"/>
        <v>1.6468056934789761E-2</v>
      </c>
      <c r="S96">
        <f t="shared" ca="1" si="29"/>
        <v>1.8001113470936265E-2</v>
      </c>
      <c r="T96">
        <f t="shared" ca="1" si="30"/>
        <v>1.5757865900984745E-2</v>
      </c>
      <c r="U96">
        <f t="shared" ca="1" si="31"/>
        <v>1521.3564682621156</v>
      </c>
      <c r="V96">
        <f t="shared" ca="1" si="32"/>
        <v>7.917614760880598E-4</v>
      </c>
      <c r="W96" t="b">
        <f t="shared" ca="1" si="19"/>
        <v>1</v>
      </c>
      <c r="X96" t="b">
        <f t="shared" ca="1" si="20"/>
        <v>1</v>
      </c>
      <c r="Y96" t="b">
        <f t="shared" ca="1" si="21"/>
        <v>1</v>
      </c>
    </row>
    <row r="97" spans="1:25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17"/>
        <v>0</v>
      </c>
      <c r="K97">
        <f t="shared" ca="1" si="22"/>
        <v>0.23243021713048384</v>
      </c>
      <c r="L97">
        <f t="shared" ca="1" si="23"/>
        <v>0.23327784389713219</v>
      </c>
      <c r="M97">
        <f t="shared" ca="1" si="24"/>
        <v>0.25750377235731253</v>
      </c>
      <c r="N97">
        <f t="shared" ca="1" si="25"/>
        <v>0.27678816661507144</v>
      </c>
      <c r="O97">
        <f t="shared" ca="1" si="18"/>
        <v>1</v>
      </c>
      <c r="P97">
        <f t="shared" ca="1" si="26"/>
        <v>6.2839188803190643E-4</v>
      </c>
      <c r="Q97">
        <f t="shared" ca="1" si="27"/>
        <v>-5.6511365063420451E-4</v>
      </c>
      <c r="R97">
        <f t="shared" ca="1" si="28"/>
        <v>-5.6989334853043382E-4</v>
      </c>
      <c r="S97">
        <f t="shared" ca="1" si="29"/>
        <v>-4.9017622037675025E-3</v>
      </c>
      <c r="T97">
        <f t="shared" ca="1" si="30"/>
        <v>-1.4939685775605788E-3</v>
      </c>
      <c r="U97">
        <f t="shared" ca="1" si="31"/>
        <v>1519.0836095032635</v>
      </c>
      <c r="V97">
        <f t="shared" ca="1" si="32"/>
        <v>9.4788324828033732E-4</v>
      </c>
      <c r="W97" t="b">
        <f t="shared" ca="1" si="19"/>
        <v>1</v>
      </c>
      <c r="X97" t="b">
        <f t="shared" ca="1" si="20"/>
        <v>1</v>
      </c>
      <c r="Y97" t="b">
        <f t="shared" ca="1" si="21"/>
        <v>1</v>
      </c>
    </row>
    <row r="98" spans="1:25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17"/>
        <v>0</v>
      </c>
      <c r="K98">
        <f t="shared" ca="1" si="22"/>
        <v>0.22917838008810573</v>
      </c>
      <c r="L98">
        <f t="shared" ca="1" si="23"/>
        <v>0.23334506354490162</v>
      </c>
      <c r="M98">
        <f t="shared" ca="1" si="24"/>
        <v>0.26006281268579634</v>
      </c>
      <c r="N98">
        <f t="shared" ca="1" si="25"/>
        <v>0.27741374368119631</v>
      </c>
      <c r="O98">
        <f t="shared" ca="1" si="18"/>
        <v>1</v>
      </c>
      <c r="P98">
        <f t="shared" ca="1" si="26"/>
        <v>-5.480703356930852E-3</v>
      </c>
      <c r="Q98">
        <f t="shared" ca="1" si="27"/>
        <v>8.9212791355155873E-3</v>
      </c>
      <c r="R98">
        <f t="shared" ca="1" si="28"/>
        <v>1.8654284783316977E-2</v>
      </c>
      <c r="S98">
        <f t="shared" ca="1" si="29"/>
        <v>1.0910275199478941E-2</v>
      </c>
      <c r="T98">
        <f t="shared" ca="1" si="30"/>
        <v>8.6306394623197301E-3</v>
      </c>
      <c r="U98">
        <f t="shared" ca="1" si="31"/>
        <v>1532.1942724500054</v>
      </c>
      <c r="V98">
        <f t="shared" ca="1" si="32"/>
        <v>3.2518370423781084E-3</v>
      </c>
      <c r="W98" t="b">
        <f t="shared" ca="1" si="19"/>
        <v>1</v>
      </c>
      <c r="X98" t="b">
        <f t="shared" ca="1" si="20"/>
        <v>1</v>
      </c>
      <c r="Y98" t="b">
        <f t="shared" ca="1" si="21"/>
        <v>1</v>
      </c>
    </row>
    <row r="99" spans="1:25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17"/>
        <v>0</v>
      </c>
      <c r="K99">
        <f t="shared" ca="1" si="22"/>
        <v>0.22907666863484727</v>
      </c>
      <c r="L99">
        <f t="shared" ca="1" si="23"/>
        <v>0.23246539986262105</v>
      </c>
      <c r="M99">
        <f t="shared" ca="1" si="24"/>
        <v>0.25869178529650849</v>
      </c>
      <c r="N99">
        <f t="shared" ca="1" si="25"/>
        <v>0.27976614620602308</v>
      </c>
      <c r="O99">
        <f t="shared" ca="1" si="18"/>
        <v>0.99999999999999978</v>
      </c>
      <c r="P99">
        <f t="shared" ca="1" si="26"/>
        <v>-1.5154994259471795E-2</v>
      </c>
      <c r="Q99">
        <f t="shared" ca="1" si="27"/>
        <v>-1.8432031882433576E-2</v>
      </c>
      <c r="R99">
        <f t="shared" ca="1" si="28"/>
        <v>-1.9912035185925589E-2</v>
      </c>
      <c r="S99">
        <f t="shared" ca="1" si="29"/>
        <v>-6.3627577319586986E-3</v>
      </c>
      <c r="T99">
        <f t="shared" ca="1" si="30"/>
        <v>-1.4717717004807897E-2</v>
      </c>
      <c r="U99">
        <f t="shared" ca="1" si="31"/>
        <v>1509.6438707516986</v>
      </c>
      <c r="V99">
        <f t="shared" ca="1" si="32"/>
        <v>2.3524025248268243E-3</v>
      </c>
      <c r="W99" t="b">
        <f t="shared" ca="1" si="19"/>
        <v>1</v>
      </c>
      <c r="X99" t="b">
        <f t="shared" ca="1" si="20"/>
        <v>1</v>
      </c>
      <c r="Y99" t="b">
        <f t="shared" ca="1" si="21"/>
        <v>1</v>
      </c>
    </row>
    <row r="100" spans="1:25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17"/>
        <v>0</v>
      </c>
      <c r="K100">
        <f t="shared" ca="1" si="22"/>
        <v>0.22976509847946033</v>
      </c>
      <c r="L100">
        <f t="shared" ca="1" si="23"/>
        <v>0.23174296432092659</v>
      </c>
      <c r="M100">
        <f t="shared" ca="1" si="24"/>
        <v>0.25553780561479944</v>
      </c>
      <c r="N100">
        <f t="shared" ca="1" si="25"/>
        <v>0.28295413158481364</v>
      </c>
      <c r="O100">
        <f t="shared" ca="1" si="18"/>
        <v>1</v>
      </c>
      <c r="P100">
        <f t="shared" ca="1" si="26"/>
        <v>1.6320820704126902E-3</v>
      </c>
      <c r="Q100">
        <f t="shared" ca="1" si="27"/>
        <v>-4.4724988898051394E-3</v>
      </c>
      <c r="R100">
        <f t="shared" ca="1" si="28"/>
        <v>-1.3544386422976474E-2</v>
      </c>
      <c r="S100">
        <f t="shared" ca="1" si="29"/>
        <v>1.0010537407797677E-2</v>
      </c>
      <c r="T100">
        <f t="shared" ca="1" si="30"/>
        <v>-1.3690413516496639E-3</v>
      </c>
      <c r="U100">
        <f t="shared" ca="1" si="31"/>
        <v>1507.5771058663752</v>
      </c>
      <c r="V100">
        <f t="shared" ca="1" si="32"/>
        <v>3.8764152234035676E-3</v>
      </c>
      <c r="W100" t="b">
        <f t="shared" ca="1" si="19"/>
        <v>1</v>
      </c>
      <c r="X100" t="b">
        <f t="shared" ca="1" si="20"/>
        <v>1</v>
      </c>
      <c r="Y100" t="b">
        <f t="shared" ca="1" si="21"/>
        <v>1</v>
      </c>
    </row>
    <row r="101" spans="1:25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17"/>
        <v>0</v>
      </c>
      <c r="K101">
        <f t="shared" ca="1" si="22"/>
        <v>0.22679978422499777</v>
      </c>
      <c r="L101">
        <f t="shared" ca="1" si="23"/>
        <v>0.23597026448393385</v>
      </c>
      <c r="M101">
        <f t="shared" ca="1" si="24"/>
        <v>0.255910039430637</v>
      </c>
      <c r="N101">
        <f t="shared" ca="1" si="25"/>
        <v>0.28131991186043132</v>
      </c>
      <c r="O101">
        <f t="shared" ca="1" si="18"/>
        <v>1</v>
      </c>
      <c r="P101">
        <f t="shared" ca="1" si="26"/>
        <v>6.6922718808193997E-3</v>
      </c>
      <c r="Q101">
        <f t="shared" ca="1" si="27"/>
        <v>3.8457862036004438E-2</v>
      </c>
      <c r="R101">
        <f t="shared" ca="1" si="28"/>
        <v>2.133995037220842E-2</v>
      </c>
      <c r="S101">
        <f t="shared" ca="1" si="29"/>
        <v>1.3964126640182936E-2</v>
      </c>
      <c r="T101">
        <f t="shared" ca="1" si="30"/>
        <v>1.9854360874272871E-2</v>
      </c>
      <c r="U101">
        <f t="shared" ca="1" si="31"/>
        <v>1537.5090857720381</v>
      </c>
      <c r="V101">
        <f t="shared" ca="1" si="32"/>
        <v>4.5995339788448553E-3</v>
      </c>
      <c r="W101" t="b">
        <f t="shared" ca="1" si="19"/>
        <v>1</v>
      </c>
      <c r="X101" t="b">
        <f t="shared" ca="1" si="20"/>
        <v>1</v>
      </c>
      <c r="Y101" t="b">
        <f t="shared" ca="1" si="21"/>
        <v>1</v>
      </c>
    </row>
    <row r="102" spans="1:25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17"/>
        <v>0</v>
      </c>
      <c r="K102">
        <f t="shared" ca="1" si="22"/>
        <v>0.22526888020480379</v>
      </c>
      <c r="L102">
        <f t="shared" ca="1" si="23"/>
        <v>0.23606016985845532</v>
      </c>
      <c r="M102">
        <f t="shared" ca="1" si="24"/>
        <v>0.25294103855725203</v>
      </c>
      <c r="N102">
        <f t="shared" ca="1" si="25"/>
        <v>0.28572991137948894</v>
      </c>
      <c r="O102">
        <f t="shared" ca="1" si="18"/>
        <v>1</v>
      </c>
      <c r="P102">
        <f t="shared" ca="1" si="26"/>
        <v>1.4104861552690893E-2</v>
      </c>
      <c r="Q102">
        <f t="shared" ca="1" si="27"/>
        <v>2.1385616102110854E-2</v>
      </c>
      <c r="R102">
        <f t="shared" ca="1" si="28"/>
        <v>9.1512795594427872E-3</v>
      </c>
      <c r="S102">
        <f t="shared" ca="1" si="29"/>
        <v>3.7001859986544872E-2</v>
      </c>
      <c r="T102">
        <f t="shared" ca="1" si="30"/>
        <v>2.0996613347425343E-2</v>
      </c>
      <c r="U102">
        <f t="shared" ca="1" si="31"/>
        <v>1569.791569564147</v>
      </c>
      <c r="V102">
        <f t="shared" ca="1" si="32"/>
        <v>4.4999048935790292E-3</v>
      </c>
      <c r="W102" t="b">
        <f t="shared" ca="1" si="19"/>
        <v>1</v>
      </c>
      <c r="X102" t="b">
        <f t="shared" ca="1" si="20"/>
        <v>1</v>
      </c>
      <c r="Y102" t="b">
        <f t="shared" ca="1" si="21"/>
        <v>1</v>
      </c>
    </row>
    <row r="103" spans="1:25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17"/>
        <v>0</v>
      </c>
      <c r="K103">
        <f t="shared" ca="1" si="22"/>
        <v>0.22770992983066837</v>
      </c>
      <c r="L103">
        <f t="shared" ca="1" si="23"/>
        <v>0.23490989125747105</v>
      </c>
      <c r="M103">
        <f t="shared" ca="1" si="24"/>
        <v>0.25107684297020022</v>
      </c>
      <c r="N103">
        <f t="shared" ca="1" si="25"/>
        <v>0.28630333594166041</v>
      </c>
      <c r="O103">
        <f t="shared" ca="1" si="18"/>
        <v>1</v>
      </c>
      <c r="P103">
        <f t="shared" ca="1" si="26"/>
        <v>1.0659522316593539E-2</v>
      </c>
      <c r="Q103">
        <f t="shared" ca="1" si="27"/>
        <v>-5.0467121271291025E-3</v>
      </c>
      <c r="R103">
        <f t="shared" ca="1" si="28"/>
        <v>-7.5435358317951827E-3</v>
      </c>
      <c r="S103">
        <f t="shared" ca="1" si="29"/>
        <v>1.831781407418567E-3</v>
      </c>
      <c r="T103">
        <f t="shared" ca="1" si="30"/>
        <v>-1.7474411465949458E-4</v>
      </c>
      <c r="U103">
        <f t="shared" ca="1" si="31"/>
        <v>1569.5172577261237</v>
      </c>
      <c r="V103">
        <f t="shared" ca="1" si="32"/>
        <v>3.014474188036062E-3</v>
      </c>
      <c r="W103" t="b">
        <f t="shared" ca="1" si="19"/>
        <v>1</v>
      </c>
      <c r="X103" t="b">
        <f t="shared" ca="1" si="20"/>
        <v>1</v>
      </c>
      <c r="Y103" t="b">
        <f t="shared" ca="1" si="21"/>
        <v>1</v>
      </c>
    </row>
    <row r="104" spans="1:25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17"/>
        <v>1</v>
      </c>
      <c r="K104">
        <f t="shared" ca="1" si="22"/>
        <v>0.25</v>
      </c>
      <c r="L104">
        <f t="shared" ca="1" si="23"/>
        <v>0.25</v>
      </c>
      <c r="M104">
        <f t="shared" ca="1" si="24"/>
        <v>0.25</v>
      </c>
      <c r="N104">
        <f t="shared" ca="1" si="25"/>
        <v>0.28907531074586346</v>
      </c>
      <c r="O104">
        <f t="shared" ca="1" si="18"/>
        <v>1.0390753107458635</v>
      </c>
      <c r="P104">
        <f t="shared" ca="1" si="26"/>
        <v>-2.8200789622115829E-4</v>
      </c>
      <c r="Q104">
        <f t="shared" ca="1" si="27"/>
        <v>-8.5142356812897956E-3</v>
      </c>
      <c r="R104">
        <f t="shared" ca="1" si="28"/>
        <v>-6.4688283334680772E-3</v>
      </c>
      <c r="S104">
        <f t="shared" ca="1" si="29"/>
        <v>8.3803138808473468E-3</v>
      </c>
      <c r="T104">
        <f t="shared" ca="1" si="30"/>
        <v>-1.2891553516510288E-3</v>
      </c>
      <c r="U104">
        <f t="shared" ca="1" si="31"/>
        <v>1567.4939061538173</v>
      </c>
      <c r="V104">
        <f t="shared" ca="1" si="32"/>
        <v>2.0614498343131921E-2</v>
      </c>
      <c r="W104" t="b">
        <f t="shared" ca="1" si="19"/>
        <v>1</v>
      </c>
      <c r="X104" t="b">
        <f t="shared" ca="1" si="20"/>
        <v>1</v>
      </c>
      <c r="Y104" t="b">
        <f t="shared" ca="1" si="21"/>
        <v>1</v>
      </c>
    </row>
    <row r="105" spans="1:25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17"/>
        <v>0</v>
      </c>
      <c r="K105">
        <f t="shared" ca="1" si="22"/>
        <v>0.24039538322467371</v>
      </c>
      <c r="L105">
        <f t="shared" ca="1" si="23"/>
        <v>0.23962326086796371</v>
      </c>
      <c r="M105">
        <f t="shared" ca="1" si="24"/>
        <v>0.23824117462197356</v>
      </c>
      <c r="N105">
        <f t="shared" ca="1" si="25"/>
        <v>0.28174018128538891</v>
      </c>
      <c r="O105">
        <f t="shared" ca="1" si="18"/>
        <v>0.99999999999999989</v>
      </c>
      <c r="P105">
        <f t="shared" ca="1" si="26"/>
        <v>1.6022566995768709E-2</v>
      </c>
      <c r="Q105">
        <f t="shared" ca="1" si="27"/>
        <v>1.2759219221048137E-2</v>
      </c>
      <c r="R105">
        <f t="shared" ca="1" si="28"/>
        <v>6.9178806869048121E-3</v>
      </c>
      <c r="S105">
        <f t="shared" ca="1" si="29"/>
        <v>2.9805077062556608E-2</v>
      </c>
      <c r="T105">
        <f t="shared" ca="1" si="30"/>
        <v>1.7540828639593373E-2</v>
      </c>
      <c r="U105">
        <f t="shared" ca="1" si="31"/>
        <v>1594.9890481552682</v>
      </c>
      <c r="V105">
        <f t="shared" ca="1" si="32"/>
        <v>1.9537655372931784E-2</v>
      </c>
      <c r="W105" t="b">
        <f t="shared" ca="1" si="19"/>
        <v>1</v>
      </c>
      <c r="X105" t="b">
        <f t="shared" ca="1" si="20"/>
        <v>1</v>
      </c>
      <c r="Y105" t="b">
        <f t="shared" ca="1" si="21"/>
        <v>1</v>
      </c>
    </row>
    <row r="106" spans="1:25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17"/>
        <v>0</v>
      </c>
      <c r="K106">
        <f t="shared" ca="1" si="22"/>
        <v>0.24033946802057815</v>
      </c>
      <c r="L106">
        <f t="shared" ca="1" si="23"/>
        <v>0.24045061186396019</v>
      </c>
      <c r="M106">
        <f t="shared" ca="1" si="24"/>
        <v>0.23887398415157271</v>
      </c>
      <c r="N106">
        <f t="shared" ca="1" si="25"/>
        <v>0.280335935963889</v>
      </c>
      <c r="O106">
        <f t="shared" ca="1" si="18"/>
        <v>1</v>
      </c>
      <c r="P106">
        <f t="shared" ca="1" si="26"/>
        <v>4.7753900827363274E-3</v>
      </c>
      <c r="Q106">
        <f t="shared" ca="1" si="27"/>
        <v>8.4791629081724489E-3</v>
      </c>
      <c r="R106">
        <f t="shared" ca="1" si="28"/>
        <v>7.6786291626253058E-3</v>
      </c>
      <c r="S106">
        <f t="shared" ca="1" si="29"/>
        <v>0</v>
      </c>
      <c r="T106">
        <f t="shared" ca="1" si="30"/>
        <v>5.0091520256640683E-3</v>
      </c>
      <c r="U106">
        <f t="shared" ca="1" si="31"/>
        <v>1602.9785907767471</v>
      </c>
      <c r="V106">
        <f t="shared" ca="1" si="32"/>
        <v>1.4601605255955552E-3</v>
      </c>
      <c r="W106" t="b">
        <f t="shared" ca="1" si="19"/>
        <v>1</v>
      </c>
      <c r="X106" t="b">
        <f t="shared" ca="1" si="20"/>
        <v>1</v>
      </c>
      <c r="Y106" t="b">
        <f t="shared" ca="1" si="21"/>
        <v>1</v>
      </c>
    </row>
    <row r="107" spans="1:25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17"/>
        <v>0</v>
      </c>
      <c r="K107">
        <f t="shared" ca="1" si="22"/>
        <v>0.23854834815433587</v>
      </c>
      <c r="L107">
        <f t="shared" ca="1" si="23"/>
        <v>0.24086654571079633</v>
      </c>
      <c r="M107">
        <f t="shared" ca="1" si="24"/>
        <v>0.24147036774946523</v>
      </c>
      <c r="N107">
        <f t="shared" ca="1" si="25"/>
        <v>0.27911473838540257</v>
      </c>
      <c r="O107">
        <f t="shared" ca="1" si="18"/>
        <v>1</v>
      </c>
      <c r="P107">
        <f t="shared" ca="1" si="26"/>
        <v>-7.5711522520031842E-3</v>
      </c>
      <c r="Q107">
        <f t="shared" ca="1" si="27"/>
        <v>1.6100178890877176E-3</v>
      </c>
      <c r="R107">
        <f t="shared" ca="1" si="28"/>
        <v>1.0748375711879388E-2</v>
      </c>
      <c r="S107">
        <f t="shared" ca="1" si="29"/>
        <v>-4.4752576941419139E-3</v>
      </c>
      <c r="T107">
        <f t="shared" ca="1" si="30"/>
        <v>-1.1958514291842749E-4</v>
      </c>
      <c r="U107">
        <f t="shared" ca="1" si="31"/>
        <v>1602.7868983528738</v>
      </c>
      <c r="V107">
        <f t="shared" ca="1" si="32"/>
        <v>3.0123174447286849E-3</v>
      </c>
      <c r="W107" t="b">
        <f t="shared" ca="1" si="19"/>
        <v>1</v>
      </c>
      <c r="X107" t="b">
        <f t="shared" ca="1" si="20"/>
        <v>1</v>
      </c>
      <c r="Y107" t="b">
        <f t="shared" ca="1" si="21"/>
        <v>1</v>
      </c>
    </row>
    <row r="108" spans="1:25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17"/>
        <v>0</v>
      </c>
      <c r="K108">
        <f t="shared" ca="1" si="22"/>
        <v>0.238032673011982</v>
      </c>
      <c r="L108">
        <f t="shared" ca="1" si="23"/>
        <v>0.23922184235795238</v>
      </c>
      <c r="M108">
        <f t="shared" ca="1" si="24"/>
        <v>0.24393675231376732</v>
      </c>
      <c r="N108">
        <f t="shared" ca="1" si="25"/>
        <v>0.27880873231629832</v>
      </c>
      <c r="O108">
        <f t="shared" ca="1" si="18"/>
        <v>1</v>
      </c>
      <c r="P108">
        <f t="shared" ca="1" si="26"/>
        <v>-2.0603630693841438E-3</v>
      </c>
      <c r="Q108">
        <f t="shared" ca="1" si="27"/>
        <v>-6.7273917961540482E-3</v>
      </c>
      <c r="R108">
        <f t="shared" ca="1" si="28"/>
        <v>1.0316641536385979E-2</v>
      </c>
      <c r="S108">
        <f t="shared" ca="1" si="29"/>
        <v>-9.9487821953639344E-4</v>
      </c>
      <c r="T108">
        <f t="shared" ca="1" si="30"/>
        <v>1.0157822137673488E-4</v>
      </c>
      <c r="U108">
        <f t="shared" ca="1" si="31"/>
        <v>1602.9497065952544</v>
      </c>
      <c r="V108">
        <f t="shared" ca="1" si="32"/>
        <v>2.4663845643020793E-3</v>
      </c>
      <c r="W108" t="b">
        <f t="shared" ca="1" si="19"/>
        <v>1</v>
      </c>
      <c r="X108" t="b">
        <f t="shared" ca="1" si="20"/>
        <v>1</v>
      </c>
      <c r="Y108" t="b">
        <f t="shared" ca="1" si="21"/>
        <v>1</v>
      </c>
    </row>
    <row r="109" spans="1:25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17"/>
        <v>0</v>
      </c>
      <c r="K109">
        <f t="shared" ca="1" si="22"/>
        <v>0.24253605876555653</v>
      </c>
      <c r="L109">
        <f t="shared" ca="1" si="23"/>
        <v>0.23807028229776434</v>
      </c>
      <c r="M109">
        <f t="shared" ca="1" si="24"/>
        <v>0.24103060137471682</v>
      </c>
      <c r="N109">
        <f t="shared" ca="1" si="25"/>
        <v>0.27836305756196228</v>
      </c>
      <c r="O109">
        <f t="shared" ca="1" si="18"/>
        <v>1</v>
      </c>
      <c r="P109">
        <f t="shared" ca="1" si="26"/>
        <v>-7.7562636013616135E-3</v>
      </c>
      <c r="Q109">
        <f t="shared" ca="1" si="27"/>
        <v>-3.0867897386717847E-2</v>
      </c>
      <c r="R109">
        <f t="shared" ca="1" si="28"/>
        <v>-3.7781792475060895E-2</v>
      </c>
      <c r="S109">
        <f t="shared" ca="1" si="29"/>
        <v>-2.7736795514901082E-2</v>
      </c>
      <c r="T109">
        <f t="shared" ca="1" si="30"/>
        <v>-2.618014798916956E-2</v>
      </c>
      <c r="U109">
        <f t="shared" ca="1" si="31"/>
        <v>1560.9842460573948</v>
      </c>
      <c r="V109">
        <f t="shared" ca="1" si="32"/>
        <v>4.5033857535745625E-3</v>
      </c>
      <c r="W109" t="b">
        <f t="shared" ca="1" si="19"/>
        <v>1</v>
      </c>
      <c r="X109" t="b">
        <f t="shared" ca="1" si="20"/>
        <v>1</v>
      </c>
      <c r="Y109" t="b">
        <f t="shared" ca="1" si="21"/>
        <v>1</v>
      </c>
    </row>
    <row r="110" spans="1:25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17"/>
        <v>0</v>
      </c>
      <c r="K110">
        <f t="shared" ca="1" si="22"/>
        <v>0.24494912427920185</v>
      </c>
      <c r="L110">
        <f t="shared" ca="1" si="23"/>
        <v>0.23815366586428863</v>
      </c>
      <c r="M110">
        <f t="shared" ca="1" si="24"/>
        <v>0.23901689171789173</v>
      </c>
      <c r="N110">
        <f t="shared" ca="1" si="25"/>
        <v>0.27788031813861785</v>
      </c>
      <c r="O110">
        <f t="shared" ca="1" si="18"/>
        <v>1</v>
      </c>
      <c r="P110">
        <f t="shared" ca="1" si="26"/>
        <v>1.5465077044202002E-2</v>
      </c>
      <c r="Q110">
        <f t="shared" ca="1" si="27"/>
        <v>5.8135939142803994E-3</v>
      </c>
      <c r="R110">
        <f t="shared" ca="1" si="28"/>
        <v>-2.9387755102040771E-3</v>
      </c>
      <c r="S110">
        <f t="shared" ca="1" si="29"/>
        <v>3.7177541729892308E-3</v>
      </c>
      <c r="T110">
        <f t="shared" ca="1" si="30"/>
        <v>5.4614333694709832E-3</v>
      </c>
      <c r="U110">
        <f t="shared" ca="1" si="31"/>
        <v>1569.5094575080311</v>
      </c>
      <c r="V110">
        <f t="shared" ca="1" si="32"/>
        <v>2.4964490801695632E-3</v>
      </c>
      <c r="W110" t="b">
        <f t="shared" ca="1" si="19"/>
        <v>1</v>
      </c>
      <c r="X110" t="b">
        <f t="shared" ca="1" si="20"/>
        <v>1</v>
      </c>
      <c r="Y110" t="b">
        <f t="shared" ca="1" si="21"/>
        <v>1</v>
      </c>
    </row>
    <row r="111" spans="1:25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17"/>
        <v>0</v>
      </c>
      <c r="K111">
        <f t="shared" ca="1" si="22"/>
        <v>0.24493587733903185</v>
      </c>
      <c r="L111">
        <f t="shared" ca="1" si="23"/>
        <v>0.23874533514352131</v>
      </c>
      <c r="M111">
        <f t="shared" ca="1" si="24"/>
        <v>0.23866460359401806</v>
      </c>
      <c r="N111">
        <f t="shared" ca="1" si="25"/>
        <v>0.27765418392342872</v>
      </c>
      <c r="O111">
        <f t="shared" ca="1" si="18"/>
        <v>1</v>
      </c>
      <c r="P111">
        <f t="shared" ca="1" si="26"/>
        <v>2.1598272138229763E-3</v>
      </c>
      <c r="Q111">
        <f t="shared" ca="1" si="27"/>
        <v>4.7039291643609102E-3</v>
      </c>
      <c r="R111">
        <f t="shared" ca="1" si="28"/>
        <v>7.3685934173901596E-4</v>
      </c>
      <c r="S111">
        <f t="shared" ca="1" si="29"/>
        <v>1.3984428150276081E-3</v>
      </c>
      <c r="T111">
        <f t="shared" ca="1" si="30"/>
        <v>2.2140273229131046E-3</v>
      </c>
      <c r="U111">
        <f t="shared" ca="1" si="31"/>
        <v>1572.9843943305245</v>
      </c>
      <c r="V111">
        <f t="shared" ca="1" si="32"/>
        <v>5.9166927923273716E-4</v>
      </c>
      <c r="W111" t="b">
        <f t="shared" ca="1" si="19"/>
        <v>1</v>
      </c>
      <c r="X111" t="b">
        <f t="shared" ca="1" si="20"/>
        <v>1</v>
      </c>
      <c r="Y111" t="b">
        <f t="shared" ca="1" si="21"/>
        <v>1</v>
      </c>
    </row>
    <row r="112" spans="1:25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17"/>
        <v>0</v>
      </c>
      <c r="K112">
        <f t="shared" ca="1" si="22"/>
        <v>0.24468675495319353</v>
      </c>
      <c r="L112">
        <f t="shared" ca="1" si="23"/>
        <v>0.23846614209174646</v>
      </c>
      <c r="M112">
        <f t="shared" ca="1" si="24"/>
        <v>0.23745863422209756</v>
      </c>
      <c r="N112">
        <f t="shared" ca="1" si="25"/>
        <v>0.27938846873296252</v>
      </c>
      <c r="O112">
        <f t="shared" ca="1" si="18"/>
        <v>1</v>
      </c>
      <c r="P112">
        <f t="shared" ca="1" si="26"/>
        <v>1.5638815207780637E-2</v>
      </c>
      <c r="Q112">
        <f t="shared" ca="1" si="27"/>
        <v>1.5483949937268588E-2</v>
      </c>
      <c r="R112">
        <f t="shared" ca="1" si="28"/>
        <v>1.1535629550846737E-2</v>
      </c>
      <c r="S112">
        <f t="shared" ca="1" si="29"/>
        <v>2.3023211926778725E-2</v>
      </c>
      <c r="T112">
        <f t="shared" ca="1" si="30"/>
        <v>1.6672865313365613E-2</v>
      </c>
      <c r="U112">
        <f t="shared" ca="1" si="31"/>
        <v>1599.2105512772234</v>
      </c>
      <c r="V112">
        <f t="shared" ca="1" si="32"/>
        <v>1.7342848095337343E-3</v>
      </c>
      <c r="W112" t="b">
        <f t="shared" ca="1" si="19"/>
        <v>1</v>
      </c>
      <c r="X112" t="b">
        <f t="shared" ca="1" si="20"/>
        <v>1</v>
      </c>
      <c r="Y112" t="b">
        <f t="shared" ca="1" si="21"/>
        <v>1</v>
      </c>
    </row>
    <row r="113" spans="1:25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17"/>
        <v>0</v>
      </c>
      <c r="K113">
        <f t="shared" ca="1" si="22"/>
        <v>0.24361953990047805</v>
      </c>
      <c r="L113">
        <f t="shared" ca="1" si="23"/>
        <v>0.23979806075600626</v>
      </c>
      <c r="M113">
        <f t="shared" ca="1" si="24"/>
        <v>0.2374062891720326</v>
      </c>
      <c r="N113">
        <f t="shared" ca="1" si="25"/>
        <v>0.27917611017148308</v>
      </c>
      <c r="O113">
        <f t="shared" ca="1" si="18"/>
        <v>1</v>
      </c>
      <c r="P113">
        <f t="shared" ca="1" si="26"/>
        <v>-2.6116763697697906E-3</v>
      </c>
      <c r="Q113">
        <f t="shared" ca="1" si="27"/>
        <v>7.3527196022299159E-3</v>
      </c>
      <c r="R113">
        <f t="shared" ca="1" si="28"/>
        <v>1.5367195082497389E-3</v>
      </c>
      <c r="S113">
        <f t="shared" ca="1" si="29"/>
        <v>9.9612617598222397E-4</v>
      </c>
      <c r="T113">
        <f t="shared" ca="1" si="30"/>
        <v>1.7575455441031535E-3</v>
      </c>
      <c r="U113">
        <f t="shared" ca="1" si="31"/>
        <v>1602.0212366557037</v>
      </c>
      <c r="V113">
        <f t="shared" ca="1" si="32"/>
        <v>1.331918664259843E-3</v>
      </c>
      <c r="W113" t="b">
        <f t="shared" ca="1" si="19"/>
        <v>1</v>
      </c>
      <c r="X113" t="b">
        <f t="shared" ca="1" si="20"/>
        <v>1</v>
      </c>
      <c r="Y113" t="b">
        <f t="shared" ca="1" si="21"/>
        <v>1</v>
      </c>
    </row>
    <row r="114" spans="1:25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17"/>
        <v>0</v>
      </c>
      <c r="K114">
        <f t="shared" ca="1" si="22"/>
        <v>0.24329729628242042</v>
      </c>
      <c r="L114">
        <f t="shared" ca="1" si="23"/>
        <v>0.24082504567010951</v>
      </c>
      <c r="M114">
        <f t="shared" ca="1" si="24"/>
        <v>0.23596209147337968</v>
      </c>
      <c r="N114">
        <f t="shared" ca="1" si="25"/>
        <v>0.27991556657409034</v>
      </c>
      <c r="O114">
        <f t="shared" ca="1" si="18"/>
        <v>0.99999999999999989</v>
      </c>
      <c r="P114">
        <f t="shared" ca="1" si="26"/>
        <v>3.4913534449838328E-3</v>
      </c>
      <c r="Q114">
        <f t="shared" ca="1" si="27"/>
        <v>9.1238146519487702E-3</v>
      </c>
      <c r="R114">
        <f t="shared" ca="1" si="28"/>
        <v>-1.2920939998384607E-3</v>
      </c>
      <c r="S114">
        <f t="shared" ca="1" si="29"/>
        <v>7.4819401444789534E-3</v>
      </c>
      <c r="T114">
        <f t="shared" ca="1" si="30"/>
        <v>4.8204626844398617E-3</v>
      </c>
      <c r="U114">
        <f t="shared" ca="1" si="31"/>
        <v>1609.7437202466829</v>
      </c>
      <c r="V114">
        <f t="shared" ca="1" si="32"/>
        <v>1.7664413167105264E-3</v>
      </c>
      <c r="W114" t="b">
        <f t="shared" ca="1" si="19"/>
        <v>1</v>
      </c>
      <c r="X114" t="b">
        <f t="shared" ca="1" si="20"/>
        <v>1</v>
      </c>
      <c r="Y114" t="b">
        <f t="shared" ca="1" si="21"/>
        <v>1</v>
      </c>
    </row>
    <row r="115" spans="1:25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17"/>
        <v>0</v>
      </c>
      <c r="K115">
        <f t="shared" ca="1" si="22"/>
        <v>0.24077325616631451</v>
      </c>
      <c r="L115">
        <f t="shared" ca="1" si="23"/>
        <v>0.24320488662256676</v>
      </c>
      <c r="M115">
        <f t="shared" ca="1" si="24"/>
        <v>0.23357961133129848</v>
      </c>
      <c r="N115">
        <f t="shared" ca="1" si="25"/>
        <v>0.28244224587982031</v>
      </c>
      <c r="O115">
        <f t="shared" ca="1" si="18"/>
        <v>1</v>
      </c>
      <c r="P115">
        <f t="shared" ca="1" si="26"/>
        <v>1.1198695297635239E-2</v>
      </c>
      <c r="Q115">
        <f t="shared" ca="1" si="27"/>
        <v>3.1896602833936229E-2</v>
      </c>
      <c r="R115">
        <f t="shared" ca="1" si="28"/>
        <v>1.1482170291905892E-2</v>
      </c>
      <c r="S115">
        <f t="shared" ca="1" si="29"/>
        <v>3.1022498628132288E-2</v>
      </c>
      <c r="T115">
        <f t="shared" ca="1" si="30"/>
        <v>2.1799150318778555E-2</v>
      </c>
      <c r="U115">
        <f t="shared" ca="1" si="31"/>
        <v>1644.8347655790503</v>
      </c>
      <c r="V115">
        <f t="shared" ca="1" si="32"/>
        <v>4.9065202581871636E-3</v>
      </c>
      <c r="W115" t="b">
        <f t="shared" ca="1" si="19"/>
        <v>1</v>
      </c>
      <c r="X115" t="b">
        <f t="shared" ca="1" si="20"/>
        <v>1</v>
      </c>
      <c r="Y115" t="b">
        <f t="shared" ca="1" si="21"/>
        <v>1</v>
      </c>
    </row>
    <row r="116" spans="1:25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17"/>
        <v>0</v>
      </c>
      <c r="K116">
        <f t="shared" ca="1" si="22"/>
        <v>0.24158175496855841</v>
      </c>
      <c r="L116">
        <f t="shared" ca="1" si="23"/>
        <v>0.24139125206235848</v>
      </c>
      <c r="M116">
        <f t="shared" ca="1" si="24"/>
        <v>0.23280541308173791</v>
      </c>
      <c r="N116">
        <f t="shared" ca="1" si="25"/>
        <v>0.2842215798873452</v>
      </c>
      <c r="O116">
        <f t="shared" ca="1" si="18"/>
        <v>1</v>
      </c>
      <c r="P116">
        <f t="shared" ca="1" si="26"/>
        <v>-5.8599000053760741E-3</v>
      </c>
      <c r="Q116">
        <f t="shared" ca="1" si="27"/>
        <v>-1.6575696638896978E-2</v>
      </c>
      <c r="R116">
        <f t="shared" ca="1" si="28"/>
        <v>-1.2471020864977235E-2</v>
      </c>
      <c r="S116">
        <f t="shared" ca="1" si="29"/>
        <v>-2.9450377887378352E-3</v>
      </c>
      <c r="T116">
        <f t="shared" ca="1" si="30"/>
        <v>-9.1869769206543508E-3</v>
      </c>
      <c r="U116">
        <f t="shared" ca="1" si="31"/>
        <v>1629.7237065493855</v>
      </c>
      <c r="V116">
        <f t="shared" ca="1" si="32"/>
        <v>2.5878328097688197E-3</v>
      </c>
      <c r="W116" t="b">
        <f t="shared" ca="1" si="19"/>
        <v>1</v>
      </c>
      <c r="X116" t="b">
        <f t="shared" ca="1" si="20"/>
        <v>1</v>
      </c>
      <c r="Y116" t="b">
        <f t="shared" ca="1" si="21"/>
        <v>1</v>
      </c>
    </row>
    <row r="117" spans="1:25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17"/>
        <v>0</v>
      </c>
      <c r="K117">
        <f t="shared" ca="1" si="22"/>
        <v>0.24178217481801811</v>
      </c>
      <c r="L117">
        <f t="shared" ca="1" si="23"/>
        <v>0.2384549471378099</v>
      </c>
      <c r="M117">
        <f t="shared" ca="1" si="24"/>
        <v>0.23207454896909527</v>
      </c>
      <c r="N117">
        <f t="shared" ca="1" si="25"/>
        <v>0.28768832907507674</v>
      </c>
      <c r="O117">
        <f t="shared" ca="1" si="18"/>
        <v>1</v>
      </c>
      <c r="P117">
        <f t="shared" ca="1" si="26"/>
        <v>4.8669695003246492E-4</v>
      </c>
      <c r="Q117">
        <f t="shared" ca="1" si="27"/>
        <v>-1.2502556013203554E-2</v>
      </c>
      <c r="R117">
        <f t="shared" ca="1" si="28"/>
        <v>-3.4809358050676502E-3</v>
      </c>
      <c r="S117">
        <f t="shared" ca="1" si="29"/>
        <v>1.1850533807829125E-2</v>
      </c>
      <c r="T117">
        <f t="shared" ca="1" si="30"/>
        <v>-3.4263380332048279E-4</v>
      </c>
      <c r="U117">
        <f t="shared" ca="1" si="31"/>
        <v>1629.1653081174491</v>
      </c>
      <c r="V117">
        <f t="shared" ca="1" si="32"/>
        <v>3.6671690371912341E-3</v>
      </c>
      <c r="W117" t="b">
        <f t="shared" ca="1" si="19"/>
        <v>1</v>
      </c>
      <c r="X117" t="b">
        <f t="shared" ca="1" si="20"/>
        <v>1</v>
      </c>
      <c r="Y117" t="b">
        <f t="shared" ca="1" si="21"/>
        <v>1</v>
      </c>
    </row>
    <row r="118" spans="1:25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17"/>
        <v>0</v>
      </c>
      <c r="K118">
        <f t="shared" ca="1" si="22"/>
        <v>0.24334681288367593</v>
      </c>
      <c r="L118">
        <f t="shared" ca="1" si="23"/>
        <v>0.2381620429832231</v>
      </c>
      <c r="M118">
        <f t="shared" ca="1" si="24"/>
        <v>0.23004344464361934</v>
      </c>
      <c r="N118">
        <f t="shared" ca="1" si="25"/>
        <v>0.28844769948948162</v>
      </c>
      <c r="O118">
        <f t="shared" ca="1" si="18"/>
        <v>1</v>
      </c>
      <c r="P118">
        <f t="shared" ca="1" si="26"/>
        <v>-5.6753688989783415E-3</v>
      </c>
      <c r="Q118">
        <f t="shared" ca="1" si="27"/>
        <v>-1.3282058867031531E-2</v>
      </c>
      <c r="R118">
        <f t="shared" ca="1" si="28"/>
        <v>-2.0714865962631984E-2</v>
      </c>
      <c r="S118">
        <f t="shared" ca="1" si="29"/>
        <v>-9.4608377589420669E-3</v>
      </c>
      <c r="T118">
        <f t="shared" ca="1" si="30"/>
        <v>-1.2068541462062326E-2</v>
      </c>
      <c r="U118">
        <f t="shared" ca="1" si="31"/>
        <v>1609.5036590478801</v>
      </c>
      <c r="V118">
        <f t="shared" ca="1" si="32"/>
        <v>2.3240084800627142E-3</v>
      </c>
      <c r="W118" t="b">
        <f t="shared" ca="1" si="19"/>
        <v>1</v>
      </c>
      <c r="X118" t="b">
        <f t="shared" ca="1" si="20"/>
        <v>1</v>
      </c>
      <c r="Y118" t="b">
        <f t="shared" ca="1" si="21"/>
        <v>1</v>
      </c>
    </row>
    <row r="119" spans="1:25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17"/>
        <v>0</v>
      </c>
      <c r="K119">
        <f t="shared" ca="1" si="22"/>
        <v>0.24330683896300381</v>
      </c>
      <c r="L119">
        <f t="shared" ca="1" si="23"/>
        <v>0.23857084092355346</v>
      </c>
      <c r="M119">
        <f t="shared" ca="1" si="24"/>
        <v>0.23114660105274501</v>
      </c>
      <c r="N119">
        <f t="shared" ca="1" si="25"/>
        <v>0.2869757190606978</v>
      </c>
      <c r="O119">
        <f t="shared" ca="1" si="18"/>
        <v>1</v>
      </c>
      <c r="P119">
        <f t="shared" ca="1" si="26"/>
        <v>1.6525331593824702E-2</v>
      </c>
      <c r="Q119">
        <f t="shared" ca="1" si="27"/>
        <v>1.8437462525482604E-2</v>
      </c>
      <c r="R119">
        <f t="shared" ca="1" si="28"/>
        <v>2.1567814184985556E-2</v>
      </c>
      <c r="S119">
        <f t="shared" ca="1" si="29"/>
        <v>1.150404772049428E-2</v>
      </c>
      <c r="T119">
        <f t="shared" ca="1" si="30"/>
        <v>1.6692340886040095E-2</v>
      </c>
      <c r="U119">
        <f t="shared" ca="1" si="31"/>
        <v>1636.3700427820361</v>
      </c>
      <c r="V119">
        <f t="shared" ca="1" si="32"/>
        <v>1.5119543494559878E-3</v>
      </c>
      <c r="W119" t="b">
        <f t="shared" ca="1" si="19"/>
        <v>1</v>
      </c>
      <c r="X119" t="b">
        <f t="shared" ca="1" si="20"/>
        <v>1</v>
      </c>
      <c r="Y119" t="b">
        <f t="shared" ca="1" si="21"/>
        <v>1</v>
      </c>
    </row>
    <row r="120" spans="1:25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17"/>
        <v>0</v>
      </c>
      <c r="K120">
        <f t="shared" ca="1" si="22"/>
        <v>0.24321932870281729</v>
      </c>
      <c r="L120">
        <f t="shared" ca="1" si="23"/>
        <v>0.23559569354277085</v>
      </c>
      <c r="M120">
        <f t="shared" ca="1" si="24"/>
        <v>0.22993715576279655</v>
      </c>
      <c r="N120">
        <f t="shared" ca="1" si="25"/>
        <v>0.29124782199161514</v>
      </c>
      <c r="O120">
        <f t="shared" ca="1" si="18"/>
        <v>0.99999999999999989</v>
      </c>
      <c r="P120">
        <f t="shared" ca="1" si="26"/>
        <v>-1.7112299465240277E-3</v>
      </c>
      <c r="Q120">
        <f t="shared" ca="1" si="27"/>
        <v>-1.380589326189985E-2</v>
      </c>
      <c r="R120">
        <f t="shared" ca="1" si="28"/>
        <v>-6.5773447015834534E-3</v>
      </c>
      <c r="S120">
        <f t="shared" ca="1" si="29"/>
        <v>1.3514462229710835E-2</v>
      </c>
      <c r="T120">
        <f t="shared" ca="1" si="30"/>
        <v>-1.3520458698532477E-3</v>
      </c>
      <c r="U120">
        <f t="shared" ca="1" si="31"/>
        <v>1634.1575954241409</v>
      </c>
      <c r="V120">
        <f t="shared" ca="1" si="32"/>
        <v>4.272102930917468E-3</v>
      </c>
      <c r="W120" t="b">
        <f t="shared" ca="1" si="19"/>
        <v>1</v>
      </c>
      <c r="X120" t="b">
        <f t="shared" ca="1" si="20"/>
        <v>1</v>
      </c>
      <c r="Y120" t="b">
        <f t="shared" ca="1" si="21"/>
        <v>1</v>
      </c>
    </row>
    <row r="121" spans="1:25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17"/>
        <v>0</v>
      </c>
      <c r="K121">
        <f t="shared" ca="1" si="22"/>
        <v>0.24737347649525268</v>
      </c>
      <c r="L121">
        <f t="shared" ca="1" si="23"/>
        <v>0.23681647385330606</v>
      </c>
      <c r="M121">
        <f t="shared" ca="1" si="24"/>
        <v>0.22793970482025613</v>
      </c>
      <c r="N121">
        <f t="shared" ca="1" si="25"/>
        <v>0.28787034483118512</v>
      </c>
      <c r="O121">
        <f t="shared" ca="1" si="18"/>
        <v>1</v>
      </c>
      <c r="P121">
        <f t="shared" ca="1" si="26"/>
        <v>-7.5530319262909606E-3</v>
      </c>
      <c r="Q121">
        <f t="shared" ca="1" si="27"/>
        <v>-1.9163035042683896E-2</v>
      </c>
      <c r="R121">
        <f t="shared" ca="1" si="28"/>
        <v>-3.2695765898316166E-2</v>
      </c>
      <c r="S121">
        <f t="shared" ca="1" si="29"/>
        <v>-3.5534928826239015E-2</v>
      </c>
      <c r="T121">
        <f t="shared" ca="1" si="30"/>
        <v>-2.42192139274632E-2</v>
      </c>
      <c r="U121">
        <f t="shared" ca="1" si="31"/>
        <v>1594.5795830293748</v>
      </c>
      <c r="V121">
        <f t="shared" ca="1" si="32"/>
        <v>5.374928102970522E-3</v>
      </c>
      <c r="W121" t="b">
        <f t="shared" ca="1" si="19"/>
        <v>1</v>
      </c>
      <c r="X121" t="b">
        <f t="shared" ca="1" si="20"/>
        <v>1</v>
      </c>
      <c r="Y121" t="b">
        <f t="shared" ca="1" si="21"/>
        <v>1</v>
      </c>
    </row>
    <row r="122" spans="1:25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17"/>
        <v>0</v>
      </c>
      <c r="K122">
        <f t="shared" ca="1" si="22"/>
        <v>0.24693097941749112</v>
      </c>
      <c r="L122">
        <f t="shared" ca="1" si="23"/>
        <v>0.23711687555463695</v>
      </c>
      <c r="M122">
        <f t="shared" ca="1" si="24"/>
        <v>0.22413743483958085</v>
      </c>
      <c r="N122">
        <f t="shared" ca="1" si="25"/>
        <v>0.29181471018829125</v>
      </c>
      <c r="O122">
        <f t="shared" ca="1" si="18"/>
        <v>1.0000000000000002</v>
      </c>
      <c r="P122">
        <f t="shared" ca="1" si="26"/>
        <v>1.5059102930857623E-2</v>
      </c>
      <c r="Q122">
        <f t="shared" ca="1" si="27"/>
        <v>1.8167985392574467E-2</v>
      </c>
      <c r="R122">
        <f t="shared" ca="1" si="28"/>
        <v>-8.4502281561645389E-5</v>
      </c>
      <c r="S122">
        <f t="shared" ca="1" si="29"/>
        <v>3.0811218443638391E-2</v>
      </c>
      <c r="T122">
        <f t="shared" ca="1" si="30"/>
        <v>1.687807553551731E-2</v>
      </c>
      <c r="U122">
        <f t="shared" ca="1" si="31"/>
        <v>1621.4930176791383</v>
      </c>
      <c r="V122">
        <f t="shared" ca="1" si="32"/>
        <v>4.2447670584369324E-3</v>
      </c>
      <c r="W122" t="b">
        <f t="shared" ca="1" si="19"/>
        <v>1</v>
      </c>
      <c r="X122" t="b">
        <f t="shared" ca="1" si="20"/>
        <v>1</v>
      </c>
      <c r="Y122" t="b">
        <f t="shared" ca="1" si="21"/>
        <v>1</v>
      </c>
    </row>
    <row r="123" spans="1:25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17"/>
        <v>0</v>
      </c>
      <c r="K123">
        <f t="shared" ca="1" si="22"/>
        <v>0.24745796636434816</v>
      </c>
      <c r="L123">
        <f t="shared" ca="1" si="23"/>
        <v>0.23703213272832535</v>
      </c>
      <c r="M123">
        <f t="shared" ca="1" si="24"/>
        <v>0.22669301396667013</v>
      </c>
      <c r="N123">
        <f t="shared" ca="1" si="25"/>
        <v>0.28881688694065621</v>
      </c>
      <c r="O123">
        <f t="shared" ca="1" si="18"/>
        <v>0.99999999999999978</v>
      </c>
      <c r="P123">
        <f t="shared" ca="1" si="26"/>
        <v>6.3277677337019982E-3</v>
      </c>
      <c r="Q123">
        <f t="shared" ca="1" si="27"/>
        <v>3.8258062587800149E-3</v>
      </c>
      <c r="R123">
        <f t="shared" ca="1" si="28"/>
        <v>1.5634243218118894E-2</v>
      </c>
      <c r="S123">
        <f t="shared" ca="1" si="29"/>
        <v>-6.1313360041804245E-3</v>
      </c>
      <c r="T123">
        <f t="shared" ca="1" si="30"/>
        <v>4.1846902420090608E-3</v>
      </c>
      <c r="U123">
        <f t="shared" ca="1" si="31"/>
        <v>1628.2784636877061</v>
      </c>
      <c r="V123">
        <f t="shared" ca="1" si="32"/>
        <v>3.0825660739464827E-3</v>
      </c>
      <c r="W123" t="b">
        <f t="shared" ca="1" si="19"/>
        <v>1</v>
      </c>
      <c r="X123" t="b">
        <f t="shared" ca="1" si="20"/>
        <v>1</v>
      </c>
      <c r="Y123" t="b">
        <f t="shared" ca="1" si="21"/>
        <v>1</v>
      </c>
    </row>
    <row r="124" spans="1:25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17"/>
        <v>0</v>
      </c>
      <c r="K124">
        <f t="shared" ca="1" si="22"/>
        <v>0.24938982791532674</v>
      </c>
      <c r="L124">
        <f t="shared" ca="1" si="23"/>
        <v>0.23788620135620345</v>
      </c>
      <c r="M124">
        <f t="shared" ca="1" si="24"/>
        <v>0.22600365151066229</v>
      </c>
      <c r="N124">
        <f t="shared" ca="1" si="25"/>
        <v>0.28672031921780755</v>
      </c>
      <c r="O124">
        <f t="shared" ca="1" si="18"/>
        <v>1</v>
      </c>
      <c r="P124">
        <f t="shared" ca="1" si="26"/>
        <v>1.7965653896961872E-3</v>
      </c>
      <c r="Q124">
        <f t="shared" ca="1" si="27"/>
        <v>-2.3820157808545819E-3</v>
      </c>
      <c r="R124">
        <f t="shared" ca="1" si="28"/>
        <v>-8.9865202196705973E-3</v>
      </c>
      <c r="S124">
        <f t="shared" ca="1" si="29"/>
        <v>-1.3179571663921089E-2</v>
      </c>
      <c r="T124">
        <f t="shared" ca="1" si="30"/>
        <v>-5.963704075808221E-3</v>
      </c>
      <c r="U124">
        <f t="shared" ca="1" si="31"/>
        <v>1618.567892777261</v>
      </c>
      <c r="V124">
        <f t="shared" ca="1" si="32"/>
        <v>2.7859301788565882E-3</v>
      </c>
      <c r="W124" t="b">
        <f t="shared" ca="1" si="19"/>
        <v>1</v>
      </c>
      <c r="X124" t="b">
        <f t="shared" ca="1" si="20"/>
        <v>1</v>
      </c>
      <c r="Y124" t="b">
        <f t="shared" ca="1" si="21"/>
        <v>1</v>
      </c>
    </row>
    <row r="125" spans="1:25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17"/>
        <v>1</v>
      </c>
      <c r="K125">
        <f t="shared" ca="1" si="22"/>
        <v>0.25</v>
      </c>
      <c r="L125">
        <f t="shared" ca="1" si="23"/>
        <v>0.25</v>
      </c>
      <c r="M125">
        <f t="shared" ca="1" si="24"/>
        <v>0.25</v>
      </c>
      <c r="N125">
        <f t="shared" ca="1" si="25"/>
        <v>0.28756947500747726</v>
      </c>
      <c r="O125">
        <f t="shared" ca="1" si="18"/>
        <v>1.0375694750074773</v>
      </c>
      <c r="P125">
        <f t="shared" ca="1" si="26"/>
        <v>2.3102484308244083E-2</v>
      </c>
      <c r="Q125">
        <f t="shared" ca="1" si="27"/>
        <v>1.6385614087449662E-2</v>
      </c>
      <c r="R125">
        <f t="shared" ca="1" si="28"/>
        <v>5.0377833753149333E-3</v>
      </c>
      <c r="S125">
        <f t="shared" ca="1" si="29"/>
        <v>1.9358505310269052E-2</v>
      </c>
      <c r="T125">
        <f t="shared" ca="1" si="30"/>
        <v>1.6348470338682471E-2</v>
      </c>
      <c r="U125">
        <f t="shared" ca="1" si="31"/>
        <v>1645.0290019634738</v>
      </c>
      <c r="V125">
        <f t="shared" ca="1" si="32"/>
        <v>1.8784737503738616E-2</v>
      </c>
      <c r="W125" t="b">
        <f t="shared" ca="1" si="19"/>
        <v>1</v>
      </c>
      <c r="X125" t="b">
        <f t="shared" ca="1" si="20"/>
        <v>1</v>
      </c>
      <c r="Y125" t="b">
        <f t="shared" ca="1" si="21"/>
        <v>1</v>
      </c>
    </row>
    <row r="126" spans="1:25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17"/>
        <v>0</v>
      </c>
      <c r="K126">
        <f t="shared" ca="1" si="22"/>
        <v>0.24008143610042898</v>
      </c>
      <c r="L126">
        <f t="shared" ca="1" si="23"/>
        <v>0.24015320338635451</v>
      </c>
      <c r="M126">
        <f t="shared" ca="1" si="24"/>
        <v>0.24236934952435238</v>
      </c>
      <c r="N126">
        <f t="shared" ca="1" si="25"/>
        <v>0.27739601098886413</v>
      </c>
      <c r="O126">
        <f t="shared" ca="1" si="18"/>
        <v>1</v>
      </c>
      <c r="P126">
        <f t="shared" ca="1" si="26"/>
        <v>-7.7847089756147387E-3</v>
      </c>
      <c r="Q126">
        <f t="shared" ca="1" si="27"/>
        <v>-7.4881071239795947E-3</v>
      </c>
      <c r="R126">
        <f t="shared" ca="1" si="28"/>
        <v>1.6708437761069578E-3</v>
      </c>
      <c r="S126">
        <f t="shared" ca="1" si="29"/>
        <v>-3.3451808488397668E-3</v>
      </c>
      <c r="T126">
        <f t="shared" ca="1" si="30"/>
        <v>-4.3624649813777628E-3</v>
      </c>
      <c r="U126">
        <f t="shared" ca="1" si="31"/>
        <v>1637.8526205490573</v>
      </c>
      <c r="V126">
        <f t="shared" ca="1" si="32"/>
        <v>1.878473750373863E-2</v>
      </c>
      <c r="W126" t="b">
        <f t="shared" ca="1" si="19"/>
        <v>1</v>
      </c>
      <c r="X126" t="b">
        <f t="shared" ca="1" si="20"/>
        <v>1</v>
      </c>
      <c r="Y126" t="b">
        <f t="shared" ca="1" si="21"/>
        <v>1</v>
      </c>
    </row>
    <row r="127" spans="1:25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17"/>
        <v>0</v>
      </c>
      <c r="K127">
        <f t="shared" ca="1" si="22"/>
        <v>0.23618201256482743</v>
      </c>
      <c r="L127">
        <f t="shared" ca="1" si="23"/>
        <v>0.23776042772751724</v>
      </c>
      <c r="M127">
        <f t="shared" ca="1" si="24"/>
        <v>0.24354158759562233</v>
      </c>
      <c r="N127">
        <f t="shared" ca="1" si="25"/>
        <v>0.28251597211203289</v>
      </c>
      <c r="O127">
        <f t="shared" ca="1" si="18"/>
        <v>1</v>
      </c>
      <c r="P127">
        <f t="shared" ca="1" si="26"/>
        <v>-5.8713498908863938E-3</v>
      </c>
      <c r="Q127">
        <f t="shared" ca="1" si="27"/>
        <v>4.7338678659122505E-4</v>
      </c>
      <c r="R127">
        <f t="shared" ca="1" si="28"/>
        <v>1.5429524603836483E-2</v>
      </c>
      <c r="S127">
        <f t="shared" ca="1" si="29"/>
        <v>2.9193762673938965E-2</v>
      </c>
      <c r="T127">
        <f t="shared" ca="1" si="30"/>
        <v>1.0541960392796658E-2</v>
      </c>
      <c r="U127">
        <f t="shared" ca="1" si="31"/>
        <v>1655.1187980041238</v>
      </c>
      <c r="V127">
        <f t="shared" ca="1" si="32"/>
        <v>6.292199194438769E-3</v>
      </c>
      <c r="W127" t="b">
        <f t="shared" ca="1" si="19"/>
        <v>1</v>
      </c>
      <c r="X127" t="b">
        <f t="shared" ca="1" si="20"/>
        <v>1</v>
      </c>
      <c r="Y127" t="b">
        <f t="shared" ca="1" si="21"/>
        <v>1</v>
      </c>
    </row>
    <row r="128" spans="1:25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17"/>
        <v>0</v>
      </c>
      <c r="K128">
        <f t="shared" ca="1" si="22"/>
        <v>0.23743423651044482</v>
      </c>
      <c r="L128">
        <f t="shared" ca="1" si="23"/>
        <v>0.24062272615987956</v>
      </c>
      <c r="M128">
        <f t="shared" ca="1" si="24"/>
        <v>0.240930442723333</v>
      </c>
      <c r="N128">
        <f t="shared" ca="1" si="25"/>
        <v>0.28101259460634265</v>
      </c>
      <c r="O128">
        <f t="shared" ca="1" si="18"/>
        <v>1</v>
      </c>
      <c r="P128">
        <f t="shared" ca="1" si="26"/>
        <v>2.5087545079182029E-3</v>
      </c>
      <c r="Q128">
        <f t="shared" ca="1" si="27"/>
        <v>9.2266745527133064E-3</v>
      </c>
      <c r="R128">
        <f t="shared" ca="1" si="28"/>
        <v>-1.3470225872689943E-2</v>
      </c>
      <c r="S128">
        <f t="shared" ca="1" si="29"/>
        <v>-8.0850630159323145E-3</v>
      </c>
      <c r="T128">
        <f t="shared" ca="1" si="30"/>
        <v>-2.7784588549727789E-3</v>
      </c>
      <c r="U128">
        <f t="shared" ca="1" si="31"/>
        <v>1650.5201185237775</v>
      </c>
      <c r="V128">
        <f t="shared" ca="1" si="32"/>
        <v>4.114522377979643E-3</v>
      </c>
      <c r="W128" t="b">
        <f t="shared" ca="1" si="19"/>
        <v>1</v>
      </c>
      <c r="X128" t="b">
        <f t="shared" ca="1" si="20"/>
        <v>1</v>
      </c>
      <c r="Y128" t="b">
        <f t="shared" ca="1" si="21"/>
        <v>1</v>
      </c>
    </row>
    <row r="129" spans="1:25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17"/>
        <v>0</v>
      </c>
      <c r="K129">
        <f t="shared" ca="1" si="22"/>
        <v>0.23768096479233378</v>
      </c>
      <c r="L129">
        <f t="shared" ca="1" si="23"/>
        <v>0.23942473565014191</v>
      </c>
      <c r="M129">
        <f t="shared" ca="1" si="24"/>
        <v>0.24133754343322295</v>
      </c>
      <c r="N129">
        <f t="shared" ca="1" si="25"/>
        <v>0.28155675612430137</v>
      </c>
      <c r="O129">
        <f t="shared" ca="1" si="18"/>
        <v>1</v>
      </c>
      <c r="P129">
        <f t="shared" ca="1" si="26"/>
        <v>-5.8912465460611825E-3</v>
      </c>
      <c r="Q129">
        <f t="shared" ca="1" si="27"/>
        <v>-1.186743634072715E-2</v>
      </c>
      <c r="R129">
        <f t="shared" ca="1" si="28"/>
        <v>-5.2451919074181621E-3</v>
      </c>
      <c r="S129">
        <f t="shared" ca="1" si="29"/>
        <v>-5.0001712387411773E-3</v>
      </c>
      <c r="T129">
        <f t="shared" ca="1" si="30"/>
        <v>-6.9231960122911936E-3</v>
      </c>
      <c r="U129">
        <f t="shared" ca="1" si="31"/>
        <v>1639.0932442210074</v>
      </c>
      <c r="V129">
        <f t="shared" ca="1" si="32"/>
        <v>1.197990509737637E-3</v>
      </c>
      <c r="W129" t="b">
        <f t="shared" ca="1" si="19"/>
        <v>1</v>
      </c>
      <c r="X129" t="b">
        <f t="shared" ca="1" si="20"/>
        <v>1</v>
      </c>
      <c r="Y129" t="b">
        <f t="shared" ca="1" si="21"/>
        <v>1</v>
      </c>
    </row>
    <row r="130" spans="1:25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17"/>
        <v>0</v>
      </c>
      <c r="K130">
        <f t="shared" ca="1" si="22"/>
        <v>0.23725205108733094</v>
      </c>
      <c r="L130">
        <f t="shared" ca="1" si="23"/>
        <v>0.23775373145407766</v>
      </c>
      <c r="M130">
        <f t="shared" ca="1" si="24"/>
        <v>0.23736963875893133</v>
      </c>
      <c r="N130">
        <f t="shared" ca="1" si="25"/>
        <v>0.28762457869966013</v>
      </c>
      <c r="O130">
        <f t="shared" ca="1" si="18"/>
        <v>1</v>
      </c>
      <c r="P130">
        <f t="shared" ca="1" si="26"/>
        <v>-1.0855884203901789E-2</v>
      </c>
      <c r="Q130">
        <f t="shared" ca="1" si="27"/>
        <v>-1.5983630864124437E-2</v>
      </c>
      <c r="R130">
        <f t="shared" ca="1" si="28"/>
        <v>-2.535989286909944E-2</v>
      </c>
      <c r="S130">
        <f t="shared" ca="1" si="29"/>
        <v>1.228788765359877E-2</v>
      </c>
      <c r="T130">
        <f t="shared" ca="1" si="30"/>
        <v>-9.0676700850207213E-3</v>
      </c>
      <c r="U130">
        <f t="shared" ca="1" si="31"/>
        <v>1624.230487443825</v>
      </c>
      <c r="V130">
        <f t="shared" ca="1" si="32"/>
        <v>6.0678225753587334E-3</v>
      </c>
      <c r="W130" t="b">
        <f t="shared" ca="1" si="19"/>
        <v>1</v>
      </c>
      <c r="X130" t="b">
        <f t="shared" ca="1" si="20"/>
        <v>1</v>
      </c>
      <c r="Y130" t="b">
        <f t="shared" ca="1" si="21"/>
        <v>1</v>
      </c>
    </row>
    <row r="131" spans="1:25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33">IF(MONTH(A132)&lt;&gt;MONTH(A131), 1, 0)</f>
        <v>0</v>
      </c>
      <c r="K131">
        <f t="shared" ca="1" si="22"/>
        <v>0.23533898681032597</v>
      </c>
      <c r="L131">
        <f t="shared" ca="1" si="23"/>
        <v>0.23695733716694933</v>
      </c>
      <c r="M131">
        <f t="shared" ca="1" si="24"/>
        <v>0.23751820272870877</v>
      </c>
      <c r="N131">
        <f t="shared" ca="1" si="25"/>
        <v>0.29018547329401601</v>
      </c>
      <c r="O131">
        <f t="shared" ref="O131:O194" ca="1" si="34">SUM(K131:N131)</f>
        <v>1</v>
      </c>
      <c r="P131">
        <f t="shared" ca="1" si="26"/>
        <v>-2.8100312814803093E-3</v>
      </c>
      <c r="Q131">
        <f t="shared" ca="1" si="27"/>
        <v>1.9286984299190647E-3</v>
      </c>
      <c r="R131">
        <f t="shared" ca="1" si="28"/>
        <v>5.9252898239587608E-3</v>
      </c>
      <c r="S131">
        <f t="shared" ca="1" si="29"/>
        <v>1.4246854811288668E-2</v>
      </c>
      <c r="T131">
        <f t="shared" ca="1" si="30"/>
        <v>5.2960990813593067E-3</v>
      </c>
      <c r="U131">
        <f t="shared" ca="1" si="31"/>
        <v>1632.8325730362922</v>
      </c>
      <c r="V131">
        <f t="shared" ca="1" si="32"/>
        <v>2.7094585641333074E-3</v>
      </c>
      <c r="W131" t="b">
        <f t="shared" ref="W131:W194" ca="1" si="35">MIN(K131:N131)&gt;=0</f>
        <v>1</v>
      </c>
      <c r="X131" t="b">
        <f t="shared" ref="X131:X194" ca="1" si="36">U131&gt;0</f>
        <v>1</v>
      </c>
      <c r="Y131" t="b">
        <f t="shared" ref="Y131:Y194" ca="1" si="37">V131&lt;=1</f>
        <v>1</v>
      </c>
    </row>
    <row r="132" spans="1:25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33"/>
        <v>0</v>
      </c>
      <c r="K132">
        <f t="shared" ref="K132:K195" ca="1" si="38">IF(J132=1, 1/4, K131*(B132/B131) / (K131*(B132/B131)+L131*(C132/C131)+M131*(D132/D131)+N131*(E132/E131)))</f>
        <v>0.2328284829583617</v>
      </c>
      <c r="L132">
        <f t="shared" ref="L132:L195" ca="1" si="39">IF(J132=1, 1/4, L131*(C132/C131) / (K131*(B132/B131)+L131*(C132/C131)+M131*(D132/D131)+N131*(E132/E131)))</f>
        <v>0.23564734494180514</v>
      </c>
      <c r="M132">
        <f t="shared" ref="M132:M195" ca="1" si="40">IF(J132=1, 1/4, M131*(D132/D131) / (K131*(B132/B131)+L131*(C132/C131)+M131*(D132/D131)+N131*(E132/E131)))</f>
        <v>0.23645058079293099</v>
      </c>
      <c r="N132">
        <f t="shared" ref="N132:N195" ca="1" si="41">IF(I132=1, 1/4, N131*(E132/E131) / (K131*(B132/B131)+L131*(C132/C131)+M131*(D132/D131)+N131*(E132/E131)))</f>
        <v>0.29507359130690236</v>
      </c>
      <c r="O132">
        <f t="shared" ca="1" si="34"/>
        <v>1.0000000000000002</v>
      </c>
      <c r="P132">
        <f t="shared" ref="P132:P195" ca="1" si="42">(B132-B131)/B131</f>
        <v>8.9855380689068346E-3</v>
      </c>
      <c r="Q132">
        <f t="shared" ref="Q132:Q195" ca="1" si="43">(C132-C131)/C131</f>
        <v>1.4226847535115833E-2</v>
      </c>
      <c r="R132">
        <f t="shared" ref="R132:R195" ca="1" si="44">(D132-D131)/D131</f>
        <v>1.5280860508792951E-2</v>
      </c>
      <c r="S132">
        <f t="shared" ref="S132:S195" ca="1" si="45">(E132-E131)/E131</f>
        <v>3.7044486908712843E-2</v>
      </c>
      <c r="T132">
        <f t="shared" ref="T132:T195" ca="1" si="46">SUMPRODUCT(K131:N131,P132:S132)</f>
        <v>1.9865057824018793E-2</v>
      </c>
      <c r="U132">
        <f t="shared" ref="U132:U195" ca="1" si="47">U131*(1+T132)</f>
        <v>1665.2688865165994</v>
      </c>
      <c r="V132">
        <f t="shared" ref="V132:V195" ca="1" si="48">IF(O132,SUM(ABS(K132-K131),ABS(L132-L131), ABS(M132-M131),ABS(N132-N131))/2,0)</f>
        <v>4.8881180128863E-3</v>
      </c>
      <c r="W132" t="b">
        <f t="shared" ca="1" si="35"/>
        <v>1</v>
      </c>
      <c r="X132" t="b">
        <f t="shared" ca="1" si="36"/>
        <v>1</v>
      </c>
      <c r="Y132" t="b">
        <f t="shared" ca="1" si="37"/>
        <v>1</v>
      </c>
    </row>
    <row r="133" spans="1:25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33"/>
        <v>0</v>
      </c>
      <c r="K133">
        <f t="shared" ca="1" si="38"/>
        <v>0.22923521604599598</v>
      </c>
      <c r="L133">
        <f t="shared" ca="1" si="39"/>
        <v>0.23481455883042948</v>
      </c>
      <c r="M133">
        <f t="shared" ca="1" si="40"/>
        <v>0.24279763515280586</v>
      </c>
      <c r="N133">
        <f t="shared" ca="1" si="41"/>
        <v>0.2931525899707686</v>
      </c>
      <c r="O133">
        <f t="shared" ca="1" si="34"/>
        <v>1</v>
      </c>
      <c r="P133">
        <f t="shared" ca="1" si="42"/>
        <v>4.0575433419401475E-3</v>
      </c>
      <c r="Q133">
        <f t="shared" ca="1" si="43"/>
        <v>1.6192170818505446E-2</v>
      </c>
      <c r="R133">
        <f t="shared" ca="1" si="44"/>
        <v>4.7170604557302605E-2</v>
      </c>
      <c r="S133">
        <f t="shared" ca="1" si="45"/>
        <v>1.315704402922367E-2</v>
      </c>
      <c r="T133">
        <f t="shared" ca="1" si="46"/>
        <v>1.9796166799680652E-2</v>
      </c>
      <c r="U133">
        <f t="shared" ca="1" si="47"/>
        <v>1698.2348271604005</v>
      </c>
      <c r="V133">
        <f t="shared" ca="1" si="48"/>
        <v>6.3470543598750095E-3</v>
      </c>
      <c r="W133" t="b">
        <f t="shared" ca="1" si="35"/>
        <v>1</v>
      </c>
      <c r="X133" t="b">
        <f t="shared" ca="1" si="36"/>
        <v>1</v>
      </c>
      <c r="Y133" t="b">
        <f t="shared" ca="1" si="37"/>
        <v>1</v>
      </c>
    </row>
    <row r="134" spans="1:25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33"/>
        <v>0</v>
      </c>
      <c r="K134">
        <f t="shared" ca="1" si="38"/>
        <v>0.22954938800430638</v>
      </c>
      <c r="L134">
        <f t="shared" ca="1" si="39"/>
        <v>0.2367204417140821</v>
      </c>
      <c r="M134">
        <f t="shared" ca="1" si="40"/>
        <v>0.24465575289595848</v>
      </c>
      <c r="N134">
        <f t="shared" ca="1" si="41"/>
        <v>0.28907441738565298</v>
      </c>
      <c r="O134">
        <f t="shared" ca="1" si="34"/>
        <v>1</v>
      </c>
      <c r="P134">
        <f t="shared" ca="1" si="42"/>
        <v>7.8723627584762097E-4</v>
      </c>
      <c r="Q134">
        <f t="shared" ca="1" si="43"/>
        <v>7.5293293643844744E-3</v>
      </c>
      <c r="R134">
        <f t="shared" ca="1" si="44"/>
        <v>7.0660028906375091E-3</v>
      </c>
      <c r="S134">
        <f t="shared" ca="1" si="45"/>
        <v>-1.4485817300022399E-2</v>
      </c>
      <c r="T134">
        <f t="shared" ca="1" si="46"/>
        <v>-5.8248763675514213E-4</v>
      </c>
      <c r="U134">
        <f t="shared" ca="1" si="47"/>
        <v>1697.2456263692725</v>
      </c>
      <c r="V134">
        <f t="shared" ca="1" si="48"/>
        <v>4.0781725851156275E-3</v>
      </c>
      <c r="W134" t="b">
        <f t="shared" ca="1" si="35"/>
        <v>1</v>
      </c>
      <c r="X134" t="b">
        <f t="shared" ca="1" si="36"/>
        <v>1</v>
      </c>
      <c r="Y134" t="b">
        <f t="shared" ca="1" si="37"/>
        <v>1</v>
      </c>
    </row>
    <row r="135" spans="1:25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33"/>
        <v>0</v>
      </c>
      <c r="K135">
        <f t="shared" ca="1" si="38"/>
        <v>0.23248862950547813</v>
      </c>
      <c r="L135">
        <f t="shared" ca="1" si="39"/>
        <v>0.23600753811511849</v>
      </c>
      <c r="M135">
        <f t="shared" ca="1" si="40"/>
        <v>0.2420778606108718</v>
      </c>
      <c r="N135">
        <f t="shared" ca="1" si="41"/>
        <v>0.28942597176853152</v>
      </c>
      <c r="O135">
        <f t="shared" ca="1" si="34"/>
        <v>1</v>
      </c>
      <c r="P135">
        <f t="shared" ca="1" si="42"/>
        <v>1.7305574492632082E-2</v>
      </c>
      <c r="Q135">
        <f t="shared" ca="1" si="43"/>
        <v>1.4193025141930515E-3</v>
      </c>
      <c r="R135">
        <f t="shared" ca="1" si="44"/>
        <v>-6.1393717110508374E-3</v>
      </c>
      <c r="S135">
        <f t="shared" ca="1" si="45"/>
        <v>5.6658140965454721E-3</v>
      </c>
      <c r="T135">
        <f t="shared" ca="1" si="46"/>
        <v>4.444271252631327E-3</v>
      </c>
      <c r="U135">
        <f t="shared" ca="1" si="47"/>
        <v>1704.7886463151997</v>
      </c>
      <c r="V135">
        <f t="shared" ca="1" si="48"/>
        <v>3.2907958840502904E-3</v>
      </c>
      <c r="W135" t="b">
        <f t="shared" ca="1" si="35"/>
        <v>1</v>
      </c>
      <c r="X135" t="b">
        <f t="shared" ca="1" si="36"/>
        <v>1</v>
      </c>
      <c r="Y135" t="b">
        <f t="shared" ca="1" si="37"/>
        <v>1</v>
      </c>
    </row>
    <row r="136" spans="1:25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33"/>
        <v>0</v>
      </c>
      <c r="K136">
        <f t="shared" ca="1" si="38"/>
        <v>0.23017783050785282</v>
      </c>
      <c r="L136">
        <f t="shared" ca="1" si="39"/>
        <v>0.24328753720603488</v>
      </c>
      <c r="M136">
        <f t="shared" ca="1" si="40"/>
        <v>0.23827985657201026</v>
      </c>
      <c r="N136">
        <f t="shared" ca="1" si="41"/>
        <v>0.28825477571410191</v>
      </c>
      <c r="O136">
        <f t="shared" ca="1" si="34"/>
        <v>0.99999999999999978</v>
      </c>
      <c r="P136">
        <f t="shared" ca="1" si="42"/>
        <v>-1.3402752719213326E-3</v>
      </c>
      <c r="Q136">
        <f t="shared" ca="1" si="43"/>
        <v>3.9799843808752469E-2</v>
      </c>
      <c r="R136">
        <f t="shared" ca="1" si="44"/>
        <v>-7.1399919775371077E-3</v>
      </c>
      <c r="S136">
        <f t="shared" ca="1" si="45"/>
        <v>4.6036958341381974E-3</v>
      </c>
      <c r="T136">
        <f t="shared" ca="1" si="46"/>
        <v>8.6854595513620562E-3</v>
      </c>
      <c r="U136">
        <f t="shared" ca="1" si="47"/>
        <v>1719.5955191463918</v>
      </c>
      <c r="V136">
        <f t="shared" ca="1" si="48"/>
        <v>7.2799990909164364E-3</v>
      </c>
      <c r="W136" t="b">
        <f t="shared" ca="1" si="35"/>
        <v>1</v>
      </c>
      <c r="X136" t="b">
        <f t="shared" ca="1" si="36"/>
        <v>1</v>
      </c>
      <c r="Y136" t="b">
        <f t="shared" ca="1" si="37"/>
        <v>1</v>
      </c>
    </row>
    <row r="137" spans="1:25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33"/>
        <v>0</v>
      </c>
      <c r="K137">
        <f t="shared" ca="1" si="38"/>
        <v>0.23204448118446988</v>
      </c>
      <c r="L137">
        <f t="shared" ca="1" si="39"/>
        <v>0.24055069708972582</v>
      </c>
      <c r="M137">
        <f t="shared" ca="1" si="40"/>
        <v>0.23519116379336188</v>
      </c>
      <c r="N137">
        <f t="shared" ca="1" si="41"/>
        <v>0.29221365793244236</v>
      </c>
      <c r="O137">
        <f t="shared" ca="1" si="34"/>
        <v>1</v>
      </c>
      <c r="P137">
        <f t="shared" ca="1" si="42"/>
        <v>7.0716977236360123E-3</v>
      </c>
      <c r="Q137">
        <f t="shared" ca="1" si="43"/>
        <v>-1.2267378786614439E-2</v>
      </c>
      <c r="R137">
        <f t="shared" ca="1" si="44"/>
        <v>-1.3978668390433128E-2</v>
      </c>
      <c r="S137">
        <f t="shared" ca="1" si="45"/>
        <v>1.2690273994552088E-2</v>
      </c>
      <c r="T137">
        <f t="shared" ca="1" si="46"/>
        <v>-1.0295553480251123E-3</v>
      </c>
      <c r="U137">
        <f t="shared" ca="1" si="47"/>
        <v>1717.8251003832147</v>
      </c>
      <c r="V137">
        <f t="shared" ca="1" si="48"/>
        <v>5.8255328949574775E-3</v>
      </c>
      <c r="W137" t="b">
        <f t="shared" ca="1" si="35"/>
        <v>1</v>
      </c>
      <c r="X137" t="b">
        <f t="shared" ca="1" si="36"/>
        <v>1</v>
      </c>
      <c r="Y137" t="b">
        <f t="shared" ca="1" si="37"/>
        <v>1</v>
      </c>
    </row>
    <row r="138" spans="1:25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33"/>
        <v>0</v>
      </c>
      <c r="K138">
        <f t="shared" ca="1" si="38"/>
        <v>0.2357927769713411</v>
      </c>
      <c r="L138">
        <f t="shared" ca="1" si="39"/>
        <v>0.24122034328081765</v>
      </c>
      <c r="M138">
        <f t="shared" ca="1" si="40"/>
        <v>0.23582911843617846</v>
      </c>
      <c r="N138">
        <f t="shared" ca="1" si="41"/>
        <v>0.28715776131166276</v>
      </c>
      <c r="O138">
        <f t="shared" ca="1" si="34"/>
        <v>1</v>
      </c>
      <c r="P138">
        <f t="shared" ca="1" si="42"/>
        <v>-1.0097385955920036E-2</v>
      </c>
      <c r="Q138">
        <f t="shared" ca="1" si="43"/>
        <v>-2.312155007322288E-2</v>
      </c>
      <c r="R138">
        <f t="shared" ca="1" si="44"/>
        <v>-2.3191018601983103E-2</v>
      </c>
      <c r="S138">
        <f t="shared" ca="1" si="45"/>
        <v>-4.2688522515110308E-2</v>
      </c>
      <c r="T138">
        <f t="shared" ca="1" si="46"/>
        <v>-2.5833439643795301E-2</v>
      </c>
      <c r="U138">
        <f t="shared" ca="1" si="47"/>
        <v>1673.4477693338683</v>
      </c>
      <c r="V138">
        <f t="shared" ca="1" si="48"/>
        <v>5.0558966207796124E-3</v>
      </c>
      <c r="W138" t="b">
        <f t="shared" ca="1" si="35"/>
        <v>1</v>
      </c>
      <c r="X138" t="b">
        <f t="shared" ca="1" si="36"/>
        <v>1</v>
      </c>
      <c r="Y138" t="b">
        <f t="shared" ca="1" si="37"/>
        <v>1</v>
      </c>
    </row>
    <row r="139" spans="1:25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33"/>
        <v>0</v>
      </c>
      <c r="K139">
        <f t="shared" ca="1" si="38"/>
        <v>0.2366655954078104</v>
      </c>
      <c r="L139">
        <f t="shared" ca="1" si="39"/>
        <v>0.24143712223253341</v>
      </c>
      <c r="M139">
        <f t="shared" ca="1" si="40"/>
        <v>0.23980800467099753</v>
      </c>
      <c r="N139">
        <f t="shared" ca="1" si="41"/>
        <v>0.28208927768865855</v>
      </c>
      <c r="O139">
        <f t="shared" ca="1" si="34"/>
        <v>0.99999999999999989</v>
      </c>
      <c r="P139">
        <f t="shared" ca="1" si="42"/>
        <v>-6.1616527727437363E-3</v>
      </c>
      <c r="Q139">
        <f t="shared" ca="1" si="43"/>
        <v>-8.937065759506509E-3</v>
      </c>
      <c r="R139">
        <f t="shared" ca="1" si="44"/>
        <v>6.8791946308724254E-3</v>
      </c>
      <c r="S139">
        <f t="shared" ca="1" si="45"/>
        <v>-2.73039799021552E-2</v>
      </c>
      <c r="T139">
        <f t="shared" ca="1" si="46"/>
        <v>-9.8269106267017941E-3</v>
      </c>
      <c r="U139">
        <f t="shared" ca="1" si="47"/>
        <v>1657.0029476661709</v>
      </c>
      <c r="V139">
        <f t="shared" ca="1" si="48"/>
        <v>5.0684836230041747E-3</v>
      </c>
      <c r="W139" t="b">
        <f t="shared" ca="1" si="35"/>
        <v>1</v>
      </c>
      <c r="X139" t="b">
        <f t="shared" ca="1" si="36"/>
        <v>1</v>
      </c>
      <c r="Y139" t="b">
        <f t="shared" ca="1" si="37"/>
        <v>1</v>
      </c>
    </row>
    <row r="140" spans="1:25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33"/>
        <v>0</v>
      </c>
      <c r="K140">
        <f t="shared" ca="1" si="38"/>
        <v>0.23709139905311541</v>
      </c>
      <c r="L140">
        <f t="shared" ca="1" si="39"/>
        <v>0.24179392797292953</v>
      </c>
      <c r="M140">
        <f t="shared" ca="1" si="40"/>
        <v>0.24223970334360193</v>
      </c>
      <c r="N140">
        <f t="shared" ca="1" si="41"/>
        <v>0.27887496963035313</v>
      </c>
      <c r="O140">
        <f t="shared" ca="1" si="34"/>
        <v>1</v>
      </c>
      <c r="P140">
        <f t="shared" ca="1" si="42"/>
        <v>4.2200687714911032E-3</v>
      </c>
      <c r="Q140">
        <f t="shared" ca="1" si="43"/>
        <v>3.8979550280711867E-3</v>
      </c>
      <c r="R140">
        <f t="shared" ca="1" si="44"/>
        <v>1.2581236460589946E-2</v>
      </c>
      <c r="S140">
        <f t="shared" ca="1" si="45"/>
        <v>-9.0056412696254244E-3</v>
      </c>
      <c r="T140">
        <f t="shared" ca="1" si="46"/>
        <v>2.4165425040724585E-3</v>
      </c>
      <c r="U140">
        <f t="shared" ca="1" si="47"/>
        <v>1661.0071657185797</v>
      </c>
      <c r="V140">
        <f t="shared" ca="1" si="48"/>
        <v>3.2143080583054706E-3</v>
      </c>
      <c r="W140" t="b">
        <f t="shared" ca="1" si="35"/>
        <v>1</v>
      </c>
      <c r="X140" t="b">
        <f t="shared" ca="1" si="36"/>
        <v>1</v>
      </c>
      <c r="Y140" t="b">
        <f t="shared" ca="1" si="37"/>
        <v>1</v>
      </c>
    </row>
    <row r="141" spans="1:25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33"/>
        <v>0</v>
      </c>
      <c r="K141">
        <f t="shared" ca="1" si="38"/>
        <v>0.23597327883422325</v>
      </c>
      <c r="L141">
        <f t="shared" ca="1" si="39"/>
        <v>0.24364719450290376</v>
      </c>
      <c r="M141">
        <f t="shared" ca="1" si="40"/>
        <v>0.2413569287159259</v>
      </c>
      <c r="N141">
        <f t="shared" ca="1" si="41"/>
        <v>0.27902259794694717</v>
      </c>
      <c r="O141">
        <f t="shared" ca="1" si="34"/>
        <v>1</v>
      </c>
      <c r="P141">
        <f t="shared" ca="1" si="42"/>
        <v>4.5136186770428251E-3</v>
      </c>
      <c r="Q141">
        <f t="shared" ca="1" si="43"/>
        <v>1.7009069572020526E-2</v>
      </c>
      <c r="R141">
        <f t="shared" ca="1" si="44"/>
        <v>5.5953262568912421E-3</v>
      </c>
      <c r="S141">
        <f t="shared" ca="1" si="45"/>
        <v>9.8076197661260359E-3</v>
      </c>
      <c r="T141">
        <f t="shared" ca="1" si="46"/>
        <v>9.273339746920484E-3</v>
      </c>
      <c r="U141">
        <f t="shared" ca="1" si="47"/>
        <v>1676.4102494883575</v>
      </c>
      <c r="V141">
        <f t="shared" ca="1" si="48"/>
        <v>2.0008948465682214E-3</v>
      </c>
      <c r="W141" t="b">
        <f t="shared" ca="1" si="35"/>
        <v>1</v>
      </c>
      <c r="X141" t="b">
        <f t="shared" ca="1" si="36"/>
        <v>1</v>
      </c>
      <c r="Y141" t="b">
        <f t="shared" ca="1" si="37"/>
        <v>1</v>
      </c>
    </row>
    <row r="142" spans="1:25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33"/>
        <v>0</v>
      </c>
      <c r="K142">
        <f t="shared" ca="1" si="38"/>
        <v>0.23476149763298237</v>
      </c>
      <c r="L142">
        <f t="shared" ca="1" si="39"/>
        <v>0.23221740826619808</v>
      </c>
      <c r="M142">
        <f t="shared" ca="1" si="40"/>
        <v>0.25283979522263533</v>
      </c>
      <c r="N142">
        <f t="shared" ca="1" si="41"/>
        <v>0.28018129887818416</v>
      </c>
      <c r="O142">
        <f t="shared" ca="1" si="34"/>
        <v>1</v>
      </c>
      <c r="P142">
        <f t="shared" ca="1" si="42"/>
        <v>4.5449850222084257E-3</v>
      </c>
      <c r="Q142">
        <f t="shared" ca="1" si="43"/>
        <v>-3.7637472220639456E-2</v>
      </c>
      <c r="R142">
        <f t="shared" ca="1" si="44"/>
        <v>5.7769413304966995E-2</v>
      </c>
      <c r="S142">
        <f t="shared" ca="1" si="45"/>
        <v>1.3923319862804243E-2</v>
      </c>
      <c r="T142">
        <f t="shared" ca="1" si="46"/>
        <v>9.7301995523769291E-3</v>
      </c>
      <c r="U142">
        <f t="shared" ca="1" si="47"/>
        <v>1692.7220557475291</v>
      </c>
      <c r="V142">
        <f t="shared" ca="1" si="48"/>
        <v>1.2641567437946491E-2</v>
      </c>
      <c r="W142" t="b">
        <f t="shared" ca="1" si="35"/>
        <v>1</v>
      </c>
      <c r="X142" t="b">
        <f t="shared" ca="1" si="36"/>
        <v>1</v>
      </c>
      <c r="Y142" t="b">
        <f t="shared" ca="1" si="37"/>
        <v>1</v>
      </c>
    </row>
    <row r="143" spans="1:25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33"/>
        <v>0</v>
      </c>
      <c r="K143">
        <f t="shared" ca="1" si="38"/>
        <v>0.23178108521641227</v>
      </c>
      <c r="L143">
        <f t="shared" ca="1" si="39"/>
        <v>0.22597105204548162</v>
      </c>
      <c r="M143">
        <f t="shared" ca="1" si="40"/>
        <v>0.25153626383290473</v>
      </c>
      <c r="N143">
        <f t="shared" ca="1" si="41"/>
        <v>0.29071159890520148</v>
      </c>
      <c r="O143">
        <f t="shared" ca="1" si="34"/>
        <v>1</v>
      </c>
      <c r="P143">
        <f t="shared" ca="1" si="42"/>
        <v>-6.5809768637532188E-3</v>
      </c>
      <c r="Q143">
        <f t="shared" ca="1" si="43"/>
        <v>-2.0872191135979972E-2</v>
      </c>
      <c r="R143">
        <f t="shared" ca="1" si="44"/>
        <v>1.0056470952270089E-3</v>
      </c>
      <c r="S143">
        <f t="shared" ca="1" si="45"/>
        <v>4.4009779951100197E-2</v>
      </c>
      <c r="T143">
        <f t="shared" ca="1" si="46"/>
        <v>6.1931388008090614E-3</v>
      </c>
      <c r="U143">
        <f t="shared" ca="1" si="47"/>
        <v>1703.2053183899643</v>
      </c>
      <c r="V143">
        <f t="shared" ca="1" si="48"/>
        <v>1.0530300027017242E-2</v>
      </c>
      <c r="W143" t="b">
        <f t="shared" ca="1" si="35"/>
        <v>1</v>
      </c>
      <c r="X143" t="b">
        <f t="shared" ca="1" si="36"/>
        <v>1</v>
      </c>
      <c r="Y143" t="b">
        <f t="shared" ca="1" si="37"/>
        <v>1</v>
      </c>
    </row>
    <row r="144" spans="1:25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33"/>
        <v>0</v>
      </c>
      <c r="K144">
        <f t="shared" ca="1" si="38"/>
        <v>0.22865109336972669</v>
      </c>
      <c r="L144">
        <f t="shared" ca="1" si="39"/>
        <v>0.22503617842313373</v>
      </c>
      <c r="M144">
        <f t="shared" ca="1" si="40"/>
        <v>0.25084906615289526</v>
      </c>
      <c r="N144">
        <f t="shared" ca="1" si="41"/>
        <v>0.29546366205424429</v>
      </c>
      <c r="O144">
        <f t="shared" ca="1" si="34"/>
        <v>1</v>
      </c>
      <c r="P144">
        <f t="shared" ca="1" si="42"/>
        <v>1.3507918434944694E-2</v>
      </c>
      <c r="Q144">
        <f t="shared" ca="1" si="43"/>
        <v>2.3131349782293108E-2</v>
      </c>
      <c r="R144">
        <f t="shared" ca="1" si="44"/>
        <v>2.4574961360123698E-2</v>
      </c>
      <c r="S144">
        <f t="shared" ca="1" si="45"/>
        <v>4.4175676109204191E-2</v>
      </c>
      <c r="T144">
        <f t="shared" ca="1" si="46"/>
        <v>2.7381770838191634E-2</v>
      </c>
      <c r="U144">
        <f t="shared" ca="1" si="47"/>
        <v>1749.8420961085076</v>
      </c>
      <c r="V144">
        <f t="shared" ca="1" si="48"/>
        <v>4.7520631490428761E-3</v>
      </c>
      <c r="W144" t="b">
        <f t="shared" ca="1" si="35"/>
        <v>1</v>
      </c>
      <c r="X144" t="b">
        <f t="shared" ca="1" si="36"/>
        <v>1</v>
      </c>
      <c r="Y144" t="b">
        <f t="shared" ca="1" si="37"/>
        <v>1</v>
      </c>
    </row>
    <row r="145" spans="1:25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33"/>
        <v>1</v>
      </c>
      <c r="K145">
        <f t="shared" ca="1" si="38"/>
        <v>0.25</v>
      </c>
      <c r="L145">
        <f t="shared" ca="1" si="39"/>
        <v>0.25</v>
      </c>
      <c r="M145">
        <f t="shared" ca="1" si="40"/>
        <v>0.25</v>
      </c>
      <c r="N145">
        <f t="shared" ca="1" si="41"/>
        <v>0.29122354510481013</v>
      </c>
      <c r="O145">
        <f t="shared" ca="1" si="34"/>
        <v>1.0412235451048102</v>
      </c>
      <c r="P145">
        <f t="shared" ca="1" si="42"/>
        <v>3.1660113363630501E-3</v>
      </c>
      <c r="Q145">
        <f t="shared" ca="1" si="43"/>
        <v>-7.2405946153618487E-3</v>
      </c>
      <c r="R145">
        <f t="shared" ca="1" si="44"/>
        <v>1.0559662090812063E-3</v>
      </c>
      <c r="S145">
        <f t="shared" ca="1" si="45"/>
        <v>-2.113801155216909E-2</v>
      </c>
      <c r="T145">
        <f t="shared" ca="1" si="46"/>
        <v>-6.8861099523835562E-3</v>
      </c>
      <c r="U145">
        <f t="shared" ca="1" si="47"/>
        <v>1737.792491035395</v>
      </c>
      <c r="V145">
        <f t="shared" ca="1" si="48"/>
        <v>2.57009556547345E-2</v>
      </c>
      <c r="W145" t="b">
        <f t="shared" ca="1" si="35"/>
        <v>1</v>
      </c>
      <c r="X145" t="b">
        <f t="shared" ca="1" si="36"/>
        <v>1</v>
      </c>
      <c r="Y145" t="b">
        <f t="shared" ca="1" si="37"/>
        <v>1</v>
      </c>
    </row>
    <row r="146" spans="1:25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33"/>
        <v>0</v>
      </c>
      <c r="K146">
        <f t="shared" ca="1" si="38"/>
        <v>0.23888808264684575</v>
      </c>
      <c r="L146">
        <f t="shared" ca="1" si="39"/>
        <v>0.24022003405447814</v>
      </c>
      <c r="M146">
        <f t="shared" ca="1" si="40"/>
        <v>0.23780503487827298</v>
      </c>
      <c r="N146">
        <f t="shared" ca="1" si="41"/>
        <v>0.28308684842040305</v>
      </c>
      <c r="O146">
        <f t="shared" ca="1" si="34"/>
        <v>1</v>
      </c>
      <c r="P146">
        <f t="shared" ca="1" si="42"/>
        <v>-4.3013489437515855E-3</v>
      </c>
      <c r="Q146">
        <f t="shared" ca="1" si="43"/>
        <v>1.250297689926051E-3</v>
      </c>
      <c r="R146">
        <f t="shared" ca="1" si="44"/>
        <v>-8.8155515370704311E-3</v>
      </c>
      <c r="S146">
        <f t="shared" ca="1" si="45"/>
        <v>1.2900188323917001E-2</v>
      </c>
      <c r="T146">
        <f t="shared" ca="1" si="46"/>
        <v>7.9018787848679625E-4</v>
      </c>
      <c r="U146">
        <f t="shared" ca="1" si="47"/>
        <v>1739.1656735971367</v>
      </c>
      <c r="V146">
        <f t="shared" ca="1" si="48"/>
        <v>2.0611772552405108E-2</v>
      </c>
      <c r="W146" t="b">
        <f t="shared" ca="1" si="35"/>
        <v>1</v>
      </c>
      <c r="X146" t="b">
        <f t="shared" ca="1" si="36"/>
        <v>1</v>
      </c>
      <c r="Y146" t="b">
        <f t="shared" ca="1" si="37"/>
        <v>1</v>
      </c>
    </row>
    <row r="147" spans="1:25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33"/>
        <v>0</v>
      </c>
      <c r="K147">
        <f t="shared" ca="1" si="38"/>
        <v>0.2407569201099474</v>
      </c>
      <c r="L147">
        <f t="shared" ca="1" si="39"/>
        <v>0.23943910056423146</v>
      </c>
      <c r="M147">
        <f t="shared" ca="1" si="40"/>
        <v>0.23756399942226009</v>
      </c>
      <c r="N147">
        <f t="shared" ca="1" si="41"/>
        <v>0.28223997990356109</v>
      </c>
      <c r="O147">
        <f t="shared" ca="1" si="34"/>
        <v>1</v>
      </c>
      <c r="P147">
        <f t="shared" ca="1" si="42"/>
        <v>-1.546483985583179E-2</v>
      </c>
      <c r="Q147">
        <f t="shared" ca="1" si="43"/>
        <v>-2.6282927989534327E-2</v>
      </c>
      <c r="R147">
        <f t="shared" ca="1" si="44"/>
        <v>-2.4097301406309508E-2</v>
      </c>
      <c r="S147">
        <f t="shared" ca="1" si="45"/>
        <v>-2.6029562145579554E-2</v>
      </c>
      <c r="T147">
        <f t="shared" ca="1" si="46"/>
        <v>-2.3107138113252344E-2</v>
      </c>
      <c r="U147">
        <f t="shared" ca="1" si="47"/>
        <v>1698.9785321755</v>
      </c>
      <c r="V147">
        <f t="shared" ca="1" si="48"/>
        <v>1.8688374631015969E-3</v>
      </c>
      <c r="W147" t="b">
        <f t="shared" ca="1" si="35"/>
        <v>1</v>
      </c>
      <c r="X147" t="b">
        <f t="shared" ca="1" si="36"/>
        <v>1</v>
      </c>
      <c r="Y147" t="b">
        <f t="shared" ca="1" si="37"/>
        <v>1</v>
      </c>
    </row>
    <row r="148" spans="1:25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33"/>
        <v>0</v>
      </c>
      <c r="K148">
        <f t="shared" ca="1" si="38"/>
        <v>0.23977418555867186</v>
      </c>
      <c r="L148">
        <f t="shared" ca="1" si="39"/>
        <v>0.23960441356600223</v>
      </c>
      <c r="M148">
        <f t="shared" ca="1" si="40"/>
        <v>0.23846928692865152</v>
      </c>
      <c r="N148">
        <f t="shared" ca="1" si="41"/>
        <v>0.28215211394667439</v>
      </c>
      <c r="O148">
        <f t="shared" ca="1" si="34"/>
        <v>1</v>
      </c>
      <c r="P148">
        <f t="shared" ca="1" si="42"/>
        <v>-7.3216325682834401E-3</v>
      </c>
      <c r="Q148">
        <f t="shared" ca="1" si="43"/>
        <v>-2.5648854961831296E-3</v>
      </c>
      <c r="R148">
        <f t="shared" ca="1" si="44"/>
        <v>5.4525627044705704E-4</v>
      </c>
      <c r="S148">
        <f t="shared" ca="1" si="45"/>
        <v>-3.5633610130126453E-3</v>
      </c>
      <c r="T148">
        <f t="shared" ca="1" si="46"/>
        <v>-3.2530572639572898E-3</v>
      </c>
      <c r="U148">
        <f t="shared" ca="1" si="47"/>
        <v>1693.4516577200991</v>
      </c>
      <c r="V148">
        <f t="shared" ca="1" si="48"/>
        <v>1.0706005081622255E-3</v>
      </c>
      <c r="W148" t="b">
        <f t="shared" ca="1" si="35"/>
        <v>1</v>
      </c>
      <c r="X148" t="b">
        <f t="shared" ca="1" si="36"/>
        <v>1</v>
      </c>
      <c r="Y148" t="b">
        <f t="shared" ca="1" si="37"/>
        <v>1</v>
      </c>
    </row>
    <row r="149" spans="1:25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33"/>
        <v>0</v>
      </c>
      <c r="K149">
        <f t="shared" ca="1" si="38"/>
        <v>0.23139324572478015</v>
      </c>
      <c r="L149">
        <f t="shared" ca="1" si="39"/>
        <v>0.24372595194948377</v>
      </c>
      <c r="M149">
        <f t="shared" ca="1" si="40"/>
        <v>0.24110257252212261</v>
      </c>
      <c r="N149">
        <f t="shared" ca="1" si="41"/>
        <v>0.28377822980361345</v>
      </c>
      <c r="O149">
        <f t="shared" ca="1" si="34"/>
        <v>1</v>
      </c>
      <c r="P149">
        <f t="shared" ca="1" si="42"/>
        <v>-4.8020086833708106E-2</v>
      </c>
      <c r="Q149">
        <f t="shared" ca="1" si="43"/>
        <v>3.428641400844755E-3</v>
      </c>
      <c r="R149">
        <f t="shared" ca="1" si="44"/>
        <v>-2.6469443363174388E-3</v>
      </c>
      <c r="S149">
        <f t="shared" ca="1" si="45"/>
        <v>-7.8546569175260376E-3</v>
      </c>
      <c r="T149">
        <f t="shared" ca="1" si="46"/>
        <v>-1.3539882580858831E-2</v>
      </c>
      <c r="U149">
        <f t="shared" ca="1" si="47"/>
        <v>1670.5225211182083</v>
      </c>
      <c r="V149">
        <f t="shared" ca="1" si="48"/>
        <v>8.3809398338916957E-3</v>
      </c>
      <c r="W149" t="b">
        <f t="shared" ca="1" si="35"/>
        <v>1</v>
      </c>
      <c r="X149" t="b">
        <f t="shared" ca="1" si="36"/>
        <v>1</v>
      </c>
      <c r="Y149" t="b">
        <f t="shared" ca="1" si="37"/>
        <v>1</v>
      </c>
    </row>
    <row r="150" spans="1:25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33"/>
        <v>0</v>
      </c>
      <c r="K150">
        <f t="shared" ca="1" si="38"/>
        <v>0.22526068444714731</v>
      </c>
      <c r="L150">
        <f t="shared" ca="1" si="39"/>
        <v>0.24314833890589865</v>
      </c>
      <c r="M150">
        <f t="shared" ca="1" si="40"/>
        <v>0.2452092986328131</v>
      </c>
      <c r="N150">
        <f t="shared" ca="1" si="41"/>
        <v>0.28638167801414094</v>
      </c>
      <c r="O150">
        <f t="shared" ca="1" si="34"/>
        <v>1</v>
      </c>
      <c r="P150">
        <f t="shared" ca="1" si="42"/>
        <v>-1.7253695257981289E-2</v>
      </c>
      <c r="Q150">
        <f t="shared" ca="1" si="43"/>
        <v>7.1084263835500677E-3</v>
      </c>
      <c r="R150">
        <f t="shared" ca="1" si="44"/>
        <v>2.6695808289750895E-2</v>
      </c>
      <c r="S150">
        <f t="shared" ca="1" si="45"/>
        <v>1.8762269494416322E-2</v>
      </c>
      <c r="T150">
        <f t="shared" ca="1" si="46"/>
        <v>9.5008711191431755E-3</v>
      </c>
      <c r="U150">
        <f t="shared" ca="1" si="47"/>
        <v>1686.3939402929784</v>
      </c>
      <c r="V150">
        <f t="shared" ca="1" si="48"/>
        <v>6.7101743212179682E-3</v>
      </c>
      <c r="W150" t="b">
        <f t="shared" ca="1" si="35"/>
        <v>1</v>
      </c>
      <c r="X150" t="b">
        <f t="shared" ca="1" si="36"/>
        <v>1</v>
      </c>
      <c r="Y150" t="b">
        <f t="shared" ca="1" si="37"/>
        <v>1</v>
      </c>
    </row>
    <row r="151" spans="1:25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33"/>
        <v>0</v>
      </c>
      <c r="K151">
        <f t="shared" ca="1" si="38"/>
        <v>0.22772852184816061</v>
      </c>
      <c r="L151">
        <f t="shared" ca="1" si="39"/>
        <v>0.24150610621263716</v>
      </c>
      <c r="M151">
        <f t="shared" ca="1" si="40"/>
        <v>0.24634217137080633</v>
      </c>
      <c r="N151">
        <f t="shared" ca="1" si="41"/>
        <v>0.28442320056839593</v>
      </c>
      <c r="O151">
        <f t="shared" ca="1" si="34"/>
        <v>1</v>
      </c>
      <c r="P151">
        <f t="shared" ca="1" si="42"/>
        <v>5.3117137265866208E-3</v>
      </c>
      <c r="Q151">
        <f t="shared" ca="1" si="43"/>
        <v>-1.229893065947715E-2</v>
      </c>
      <c r="R151">
        <f t="shared" ca="1" si="44"/>
        <v>-9.8836767277423734E-4</v>
      </c>
      <c r="S151">
        <f t="shared" ca="1" si="45"/>
        <v>-1.2383118524134495E-2</v>
      </c>
      <c r="T151">
        <f t="shared" ca="1" si="46"/>
        <v>-5.5825994963544338E-3</v>
      </c>
      <c r="U151">
        <f t="shared" ca="1" si="47"/>
        <v>1676.9794783312436</v>
      </c>
      <c r="V151">
        <f t="shared" ca="1" si="48"/>
        <v>3.6007101390065216E-3</v>
      </c>
      <c r="W151" t="b">
        <f t="shared" ca="1" si="35"/>
        <v>1</v>
      </c>
      <c r="X151" t="b">
        <f t="shared" ca="1" si="36"/>
        <v>1</v>
      </c>
      <c r="Y151" t="b">
        <f t="shared" ca="1" si="37"/>
        <v>1</v>
      </c>
    </row>
    <row r="152" spans="1:25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33"/>
        <v>0</v>
      </c>
      <c r="K152">
        <f t="shared" ca="1" si="38"/>
        <v>0.22910069194285312</v>
      </c>
      <c r="L152">
        <f t="shared" ca="1" si="39"/>
        <v>0.24228426822985116</v>
      </c>
      <c r="M152">
        <f t="shared" ca="1" si="40"/>
        <v>0.24675431187961008</v>
      </c>
      <c r="N152">
        <f t="shared" ca="1" si="41"/>
        <v>0.28186072794768557</v>
      </c>
      <c r="O152">
        <f t="shared" ca="1" si="34"/>
        <v>0.99999999999999989</v>
      </c>
      <c r="P152">
        <f t="shared" ca="1" si="42"/>
        <v>-8.9543937708565832E-3</v>
      </c>
      <c r="Q152">
        <f t="shared" ca="1" si="43"/>
        <v>-1.1715994479374308E-2</v>
      </c>
      <c r="R152">
        <f t="shared" ca="1" si="44"/>
        <v>-1.3242009132420161E-2</v>
      </c>
      <c r="S152">
        <f t="shared" ca="1" si="45"/>
        <v>-2.3765353121801457E-2</v>
      </c>
      <c r="T152">
        <f t="shared" ca="1" si="46"/>
        <v>-1.4890138145139308E-2</v>
      </c>
      <c r="U152">
        <f t="shared" ca="1" si="47"/>
        <v>1652.0090222323279</v>
      </c>
      <c r="V152">
        <f t="shared" ca="1" si="48"/>
        <v>2.5624726207103127E-3</v>
      </c>
      <c r="W152" t="b">
        <f t="shared" ca="1" si="35"/>
        <v>1</v>
      </c>
      <c r="X152" t="b">
        <f t="shared" ca="1" si="36"/>
        <v>1</v>
      </c>
      <c r="Y152" t="b">
        <f t="shared" ca="1" si="37"/>
        <v>1</v>
      </c>
    </row>
    <row r="153" spans="1:25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33"/>
        <v>0</v>
      </c>
      <c r="K153">
        <f t="shared" ca="1" si="38"/>
        <v>0.22863720793853387</v>
      </c>
      <c r="L153">
        <f t="shared" ca="1" si="39"/>
        <v>0.24261892361755213</v>
      </c>
      <c r="M153">
        <f t="shared" ca="1" si="40"/>
        <v>0.24661657268826531</v>
      </c>
      <c r="N153">
        <f t="shared" ca="1" si="41"/>
        <v>0.2821272957556486</v>
      </c>
      <c r="O153">
        <f t="shared" ca="1" si="34"/>
        <v>1</v>
      </c>
      <c r="P153">
        <f t="shared" ca="1" si="42"/>
        <v>-1.2346371850272117E-3</v>
      </c>
      <c r="Q153">
        <f t="shared" ca="1" si="43"/>
        <v>2.1723613567948006E-3</v>
      </c>
      <c r="R153">
        <f t="shared" ca="1" si="44"/>
        <v>2.3137436372050853E-4</v>
      </c>
      <c r="S153">
        <f t="shared" ca="1" si="45"/>
        <v>1.7365092886865751E-3</v>
      </c>
      <c r="T153">
        <f t="shared" ca="1" si="46"/>
        <v>7.9001914237727673E-4</v>
      </c>
      <c r="U153">
        <f t="shared" ca="1" si="47"/>
        <v>1653.3141409832715</v>
      </c>
      <c r="V153">
        <f t="shared" ca="1" si="48"/>
        <v>6.0122319566401072E-4</v>
      </c>
      <c r="W153" t="b">
        <f t="shared" ca="1" si="35"/>
        <v>1</v>
      </c>
      <c r="X153" t="b">
        <f t="shared" ca="1" si="36"/>
        <v>1</v>
      </c>
      <c r="Y153" t="b">
        <f t="shared" ca="1" si="37"/>
        <v>1</v>
      </c>
    </row>
    <row r="154" spans="1:25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33"/>
        <v>0</v>
      </c>
      <c r="K154">
        <f t="shared" ca="1" si="38"/>
        <v>0.22971633561870741</v>
      </c>
      <c r="L154">
        <f t="shared" ca="1" si="39"/>
        <v>0.24256005537545047</v>
      </c>
      <c r="M154">
        <f t="shared" ca="1" si="40"/>
        <v>0.24778279610563797</v>
      </c>
      <c r="N154">
        <f t="shared" ca="1" si="41"/>
        <v>0.27994081290020406</v>
      </c>
      <c r="O154">
        <f t="shared" ca="1" si="34"/>
        <v>1</v>
      </c>
      <c r="P154">
        <f t="shared" ca="1" si="42"/>
        <v>-1.0114064168118605E-3</v>
      </c>
      <c r="Q154">
        <f t="shared" ca="1" si="43"/>
        <v>-5.9455609574830953E-3</v>
      </c>
      <c r="R154">
        <f t="shared" ca="1" si="44"/>
        <v>-1.0023903153673795E-3</v>
      </c>
      <c r="S154">
        <f t="shared" ca="1" si="45"/>
        <v>-1.3410087002027941E-2</v>
      </c>
      <c r="T154">
        <f t="shared" ca="1" si="46"/>
        <v>-5.704308384840001E-3</v>
      </c>
      <c r="U154">
        <f t="shared" ca="1" si="47"/>
        <v>1643.8831272660859</v>
      </c>
      <c r="V154">
        <f t="shared" ca="1" si="48"/>
        <v>2.2453510975461999E-3</v>
      </c>
      <c r="W154" t="b">
        <f t="shared" ca="1" si="35"/>
        <v>1</v>
      </c>
      <c r="X154" t="b">
        <f t="shared" ca="1" si="36"/>
        <v>1</v>
      </c>
      <c r="Y154" t="b">
        <f t="shared" ca="1" si="37"/>
        <v>1</v>
      </c>
    </row>
    <row r="155" spans="1:25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33"/>
        <v>0</v>
      </c>
      <c r="K155">
        <f t="shared" ca="1" si="38"/>
        <v>0.22911212376411463</v>
      </c>
      <c r="L155">
        <f t="shared" ca="1" si="39"/>
        <v>0.24193305118163491</v>
      </c>
      <c r="M155">
        <f t="shared" ca="1" si="40"/>
        <v>0.24817613230735772</v>
      </c>
      <c r="N155">
        <f t="shared" ca="1" si="41"/>
        <v>0.28077869274689271</v>
      </c>
      <c r="O155">
        <f t="shared" ca="1" si="34"/>
        <v>1</v>
      </c>
      <c r="P155">
        <f t="shared" ca="1" si="42"/>
        <v>9.3931042240846842E-3</v>
      </c>
      <c r="Q155">
        <f t="shared" ca="1" si="43"/>
        <v>9.4389582879038959E-3</v>
      </c>
      <c r="R155">
        <f t="shared" ca="1" si="44"/>
        <v>1.366162395801181E-2</v>
      </c>
      <c r="S155">
        <f t="shared" ca="1" si="45"/>
        <v>1.508420633868191E-2</v>
      </c>
      <c r="T155">
        <f t="shared" ca="1" si="46"/>
        <v>1.2055064095506836E-2</v>
      </c>
      <c r="U155">
        <f t="shared" ca="1" si="47"/>
        <v>1663.7002437308008</v>
      </c>
      <c r="V155">
        <f t="shared" ca="1" si="48"/>
        <v>1.2312160484083678E-3</v>
      </c>
      <c r="W155" t="b">
        <f t="shared" ca="1" si="35"/>
        <v>1</v>
      </c>
      <c r="X155" t="b">
        <f t="shared" ca="1" si="36"/>
        <v>1</v>
      </c>
      <c r="Y155" t="b">
        <f t="shared" ca="1" si="37"/>
        <v>1</v>
      </c>
    </row>
    <row r="156" spans="1:25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33"/>
        <v>0</v>
      </c>
      <c r="K156">
        <f t="shared" ca="1" si="38"/>
        <v>0.22906825618976823</v>
      </c>
      <c r="L156">
        <f t="shared" ca="1" si="39"/>
        <v>0.24298087098923113</v>
      </c>
      <c r="M156">
        <f t="shared" ca="1" si="40"/>
        <v>0.2479775334984772</v>
      </c>
      <c r="N156">
        <f t="shared" ca="1" si="41"/>
        <v>0.27997333932252338</v>
      </c>
      <c r="O156">
        <f t="shared" ca="1" si="34"/>
        <v>1</v>
      </c>
      <c r="P156">
        <f t="shared" ca="1" si="42"/>
        <v>-1.1200267469073995E-2</v>
      </c>
      <c r="Q156">
        <f t="shared" ca="1" si="43"/>
        <v>-6.7275644982101182E-3</v>
      </c>
      <c r="R156">
        <f t="shared" ca="1" si="44"/>
        <v>-1.1802330008375933E-2</v>
      </c>
      <c r="S156">
        <f t="shared" ca="1" si="45"/>
        <v>-1.3847610960514742E-2</v>
      </c>
      <c r="T156">
        <f t="shared" ca="1" si="46"/>
        <v>-1.1010907989493562E-2</v>
      </c>
      <c r="U156">
        <f t="shared" ca="1" si="47"/>
        <v>1645.3813934249829</v>
      </c>
      <c r="V156">
        <f t="shared" ca="1" si="48"/>
        <v>1.0478198075962314E-3</v>
      </c>
      <c r="W156" t="b">
        <f t="shared" ca="1" si="35"/>
        <v>1</v>
      </c>
      <c r="X156" t="b">
        <f t="shared" ca="1" si="36"/>
        <v>1</v>
      </c>
      <c r="Y156" t="b">
        <f t="shared" ca="1" si="37"/>
        <v>1</v>
      </c>
    </row>
    <row r="157" spans="1:25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33"/>
        <v>0</v>
      </c>
      <c r="K157">
        <f t="shared" ca="1" si="38"/>
        <v>0.23056166264627337</v>
      </c>
      <c r="L157">
        <f t="shared" ca="1" si="39"/>
        <v>0.24466894944805367</v>
      </c>
      <c r="M157">
        <f t="shared" ca="1" si="40"/>
        <v>0.2487507422549288</v>
      </c>
      <c r="N157">
        <f t="shared" ca="1" si="41"/>
        <v>0.27601864565074408</v>
      </c>
      <c r="O157">
        <f t="shared" ca="1" si="34"/>
        <v>0.99999999999999989</v>
      </c>
      <c r="P157">
        <f t="shared" ca="1" si="42"/>
        <v>-4.9591434206818566E-3</v>
      </c>
      <c r="Q157">
        <f t="shared" ca="1" si="43"/>
        <v>-4.5361337227367068E-3</v>
      </c>
      <c r="R157">
        <f t="shared" ca="1" si="44"/>
        <v>-8.3217753120666711E-3</v>
      </c>
      <c r="S157">
        <f t="shared" ca="1" si="45"/>
        <v>-2.5368438483192476E-2</v>
      </c>
      <c r="T157">
        <f t="shared" ca="1" si="46"/>
        <v>-1.1404275810196964E-2</v>
      </c>
      <c r="U157">
        <f t="shared" ca="1" si="47"/>
        <v>1626.6170102013982</v>
      </c>
      <c r="V157">
        <f t="shared" ca="1" si="48"/>
        <v>3.9546936717792941E-3</v>
      </c>
      <c r="W157" t="b">
        <f t="shared" ca="1" si="35"/>
        <v>1</v>
      </c>
      <c r="X157" t="b">
        <f t="shared" ca="1" si="36"/>
        <v>1</v>
      </c>
      <c r="Y157" t="b">
        <f t="shared" ca="1" si="37"/>
        <v>1</v>
      </c>
    </row>
    <row r="158" spans="1:25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33"/>
        <v>0</v>
      </c>
      <c r="K158">
        <f t="shared" ca="1" si="38"/>
        <v>0.23003865247229621</v>
      </c>
      <c r="L158">
        <f t="shared" ca="1" si="39"/>
        <v>0.24499801605045701</v>
      </c>
      <c r="M158">
        <f t="shared" ca="1" si="40"/>
        <v>0.25423962463112565</v>
      </c>
      <c r="N158">
        <f t="shared" ca="1" si="41"/>
        <v>0.27072370684612101</v>
      </c>
      <c r="O158">
        <f t="shared" ca="1" si="34"/>
        <v>0.99999999999999989</v>
      </c>
      <c r="P158">
        <f t="shared" ca="1" si="42"/>
        <v>-1.4555133941213079E-2</v>
      </c>
      <c r="Q158">
        <f t="shared" ca="1" si="43"/>
        <v>-1.0986267166042391E-2</v>
      </c>
      <c r="R158">
        <f t="shared" ca="1" si="44"/>
        <v>9.4794094794094716E-3</v>
      </c>
      <c r="S158">
        <f t="shared" ca="1" si="45"/>
        <v>-3.1261680655136244E-2</v>
      </c>
      <c r="T158">
        <f t="shared" ca="1" si="46"/>
        <v>-1.231465093845179E-2</v>
      </c>
      <c r="U158">
        <f t="shared" ca="1" si="47"/>
        <v>1606.5857895102199</v>
      </c>
      <c r="V158">
        <f t="shared" ca="1" si="48"/>
        <v>5.8179489786002042E-3</v>
      </c>
      <c r="W158" t="b">
        <f t="shared" ca="1" si="35"/>
        <v>1</v>
      </c>
      <c r="X158" t="b">
        <f t="shared" ca="1" si="36"/>
        <v>1</v>
      </c>
      <c r="Y158" t="b">
        <f t="shared" ca="1" si="37"/>
        <v>1</v>
      </c>
    </row>
    <row r="159" spans="1:25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33"/>
        <v>0</v>
      </c>
      <c r="K159">
        <f t="shared" ca="1" si="38"/>
        <v>0.23213094129262782</v>
      </c>
      <c r="L159">
        <f t="shared" ca="1" si="39"/>
        <v>0.24622090954033032</v>
      </c>
      <c r="M159">
        <f t="shared" ca="1" si="40"/>
        <v>0.25098748345444044</v>
      </c>
      <c r="N159">
        <f t="shared" ca="1" si="41"/>
        <v>0.27066066571260139</v>
      </c>
      <c r="O159">
        <f t="shared" ca="1" si="34"/>
        <v>1</v>
      </c>
      <c r="P159">
        <f t="shared" ca="1" si="42"/>
        <v>2.8160919540230409E-3</v>
      </c>
      <c r="Q159">
        <f t="shared" ca="1" si="43"/>
        <v>-1.2623074981064669E-3</v>
      </c>
      <c r="R159">
        <f t="shared" ca="1" si="44"/>
        <v>-1.8934729064039361E-2</v>
      </c>
      <c r="S159">
        <f t="shared" ca="1" si="45"/>
        <v>-6.4541022133360526E-3</v>
      </c>
      <c r="T159">
        <f t="shared" ca="1" si="46"/>
        <v>-6.2226897196316867E-3</v>
      </c>
      <c r="U159">
        <f t="shared" ca="1" si="47"/>
        <v>1596.5885046341284</v>
      </c>
      <c r="V159">
        <f t="shared" ca="1" si="48"/>
        <v>3.3151823102048755E-3</v>
      </c>
      <c r="W159" t="b">
        <f t="shared" ca="1" si="35"/>
        <v>1</v>
      </c>
      <c r="X159" t="b">
        <f t="shared" ca="1" si="36"/>
        <v>1</v>
      </c>
      <c r="Y159" t="b">
        <f t="shared" ca="1" si="37"/>
        <v>1</v>
      </c>
    </row>
    <row r="160" spans="1:25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33"/>
        <v>0</v>
      </c>
      <c r="K160">
        <f t="shared" ca="1" si="38"/>
        <v>0.23066449471497907</v>
      </c>
      <c r="L160">
        <f t="shared" ca="1" si="39"/>
        <v>0.24692964924314614</v>
      </c>
      <c r="M160">
        <f t="shared" ca="1" si="40"/>
        <v>0.24925408041830108</v>
      </c>
      <c r="N160">
        <f t="shared" ca="1" si="41"/>
        <v>0.27315177562357379</v>
      </c>
      <c r="O160">
        <f t="shared" ca="1" si="34"/>
        <v>1</v>
      </c>
      <c r="P160">
        <f t="shared" ca="1" si="42"/>
        <v>7.7368330563355736E-3</v>
      </c>
      <c r="Q160">
        <f t="shared" ca="1" si="43"/>
        <v>1.7062689585439765E-2</v>
      </c>
      <c r="R160">
        <f t="shared" ca="1" si="44"/>
        <v>7.1394947434490104E-3</v>
      </c>
      <c r="S160">
        <f t="shared" ca="1" si="45"/>
        <v>2.3477493380405921E-2</v>
      </c>
      <c r="T160">
        <f t="shared" ca="1" si="46"/>
        <v>1.4143507095320727E-2</v>
      </c>
      <c r="U160">
        <f t="shared" ca="1" si="47"/>
        <v>1619.1698654777285</v>
      </c>
      <c r="V160">
        <f t="shared" ca="1" si="48"/>
        <v>3.1998496137881638E-3</v>
      </c>
      <c r="W160" t="b">
        <f t="shared" ca="1" si="35"/>
        <v>1</v>
      </c>
      <c r="X160" t="b">
        <f t="shared" ca="1" si="36"/>
        <v>1</v>
      </c>
      <c r="Y160" t="b">
        <f t="shared" ca="1" si="37"/>
        <v>1</v>
      </c>
    </row>
    <row r="161" spans="1:25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33"/>
        <v>0</v>
      </c>
      <c r="K161">
        <f t="shared" ca="1" si="38"/>
        <v>0.23214435002348238</v>
      </c>
      <c r="L161">
        <f t="shared" ca="1" si="39"/>
        <v>0.24700907075430253</v>
      </c>
      <c r="M161">
        <f t="shared" ca="1" si="40"/>
        <v>0.25026233803001402</v>
      </c>
      <c r="N161">
        <f t="shared" ca="1" si="41"/>
        <v>0.27058424119220115</v>
      </c>
      <c r="O161">
        <f t="shared" ca="1" si="34"/>
        <v>1</v>
      </c>
      <c r="P161">
        <f t="shared" ca="1" si="42"/>
        <v>7.9049135577797212E-3</v>
      </c>
      <c r="Q161">
        <f t="shared" ca="1" si="43"/>
        <v>1.8019137566794585E-3</v>
      </c>
      <c r="R161">
        <f t="shared" ca="1" si="44"/>
        <v>5.53088727895932E-3</v>
      </c>
      <c r="S161">
        <f t="shared" ca="1" si="45"/>
        <v>-7.9337702656086737E-3</v>
      </c>
      <c r="T161">
        <f t="shared" ca="1" si="46"/>
        <v>1.4798016106478684E-3</v>
      </c>
      <c r="U161">
        <f t="shared" ca="1" si="47"/>
        <v>1621.5659156525749</v>
      </c>
      <c r="V161">
        <f t="shared" ca="1" si="48"/>
        <v>2.5675344313726423E-3</v>
      </c>
      <c r="W161" t="b">
        <f t="shared" ca="1" si="35"/>
        <v>1</v>
      </c>
      <c r="X161" t="b">
        <f t="shared" ca="1" si="36"/>
        <v>1</v>
      </c>
      <c r="Y161" t="b">
        <f t="shared" ca="1" si="37"/>
        <v>1</v>
      </c>
    </row>
    <row r="162" spans="1:25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33"/>
        <v>0</v>
      </c>
      <c r="K162">
        <f t="shared" ca="1" si="38"/>
        <v>0.23231484735848379</v>
      </c>
      <c r="L162">
        <f t="shared" ca="1" si="39"/>
        <v>0.24528697162090538</v>
      </c>
      <c r="M162">
        <f t="shared" ca="1" si="40"/>
        <v>0.25131348125062519</v>
      </c>
      <c r="N162">
        <f t="shared" ca="1" si="41"/>
        <v>0.2710846997699855</v>
      </c>
      <c r="O162">
        <f t="shared" ca="1" si="34"/>
        <v>0.99999999999999989</v>
      </c>
      <c r="P162">
        <f t="shared" ca="1" si="42"/>
        <v>2.194887998645836E-2</v>
      </c>
      <c r="Q162">
        <f t="shared" ca="1" si="43"/>
        <v>1.4079265645351426E-2</v>
      </c>
      <c r="R162">
        <f t="shared" ca="1" si="44"/>
        <v>2.5488069414316639E-2</v>
      </c>
      <c r="S162">
        <f t="shared" ca="1" si="45"/>
        <v>2.3087621696801064E-2</v>
      </c>
      <c r="T162">
        <f t="shared" ca="1" si="46"/>
        <v>2.1198865243420715E-2</v>
      </c>
      <c r="U162">
        <f t="shared" ca="1" si="47"/>
        <v>1655.941272981818</v>
      </c>
      <c r="V162">
        <f t="shared" ca="1" si="48"/>
        <v>1.7220991333970481E-3</v>
      </c>
      <c r="W162" t="b">
        <f t="shared" ca="1" si="35"/>
        <v>1</v>
      </c>
      <c r="X162" t="b">
        <f t="shared" ca="1" si="36"/>
        <v>1</v>
      </c>
      <c r="Y162" t="b">
        <f t="shared" ca="1" si="37"/>
        <v>1</v>
      </c>
    </row>
    <row r="163" spans="1:25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33"/>
        <v>0</v>
      </c>
      <c r="K163">
        <f t="shared" ca="1" si="38"/>
        <v>0.23160147998824535</v>
      </c>
      <c r="L163">
        <f t="shared" ca="1" si="39"/>
        <v>0.24570694087638975</v>
      </c>
      <c r="M163">
        <f t="shared" ca="1" si="40"/>
        <v>0.25224085044733063</v>
      </c>
      <c r="N163">
        <f t="shared" ca="1" si="41"/>
        <v>0.27045072868803433</v>
      </c>
      <c r="O163">
        <f t="shared" ca="1" si="34"/>
        <v>1</v>
      </c>
      <c r="P163">
        <f t="shared" ca="1" si="42"/>
        <v>-2.6170494699646694E-2</v>
      </c>
      <c r="Q163">
        <f t="shared" ca="1" si="43"/>
        <v>-2.149847094801215E-2</v>
      </c>
      <c r="R163">
        <f t="shared" ca="1" si="44"/>
        <v>-1.9566367001586486E-2</v>
      </c>
      <c r="S163">
        <f t="shared" ca="1" si="45"/>
        <v>-2.5455410549211559E-2</v>
      </c>
      <c r="T163">
        <f t="shared" ca="1" si="46"/>
        <v>-2.3170953447613142E-2</v>
      </c>
      <c r="U163">
        <f t="shared" ca="1" si="47"/>
        <v>1617.571534833575</v>
      </c>
      <c r="V163">
        <f t="shared" ca="1" si="48"/>
        <v>1.3473384521897197E-3</v>
      </c>
      <c r="W163" t="b">
        <f t="shared" ca="1" si="35"/>
        <v>1</v>
      </c>
      <c r="X163" t="b">
        <f t="shared" ca="1" si="36"/>
        <v>1</v>
      </c>
      <c r="Y163" t="b">
        <f t="shared" ca="1" si="37"/>
        <v>1</v>
      </c>
    </row>
    <row r="164" spans="1:25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33"/>
        <v>0</v>
      </c>
      <c r="K164">
        <f t="shared" ca="1" si="38"/>
        <v>0.2335359621475068</v>
      </c>
      <c r="L164">
        <f t="shared" ca="1" si="39"/>
        <v>0.24696749585576183</v>
      </c>
      <c r="M164">
        <f t="shared" ca="1" si="40"/>
        <v>0.25136565407072231</v>
      </c>
      <c r="N164">
        <f t="shared" ca="1" si="41"/>
        <v>0.26813088792600898</v>
      </c>
      <c r="O164">
        <f t="shared" ca="1" si="34"/>
        <v>1</v>
      </c>
      <c r="P164">
        <f t="shared" ca="1" si="42"/>
        <v>1.2643156820501295E-2</v>
      </c>
      <c r="Q164">
        <f t="shared" ca="1" si="43"/>
        <v>9.407131918617341E-3</v>
      </c>
      <c r="R164">
        <f t="shared" ca="1" si="44"/>
        <v>7.7053475111723158E-4</v>
      </c>
      <c r="S164">
        <f t="shared" ca="1" si="45"/>
        <v>-4.3591979075850041E-3</v>
      </c>
      <c r="T164">
        <f t="shared" ca="1" si="46"/>
        <v>4.2549835278150022E-3</v>
      </c>
      <c r="U164">
        <f t="shared" ca="1" si="47"/>
        <v>1624.4542750693543</v>
      </c>
      <c r="V164">
        <f t="shared" ca="1" si="48"/>
        <v>3.1950371386336024E-3</v>
      </c>
      <c r="W164" t="b">
        <f t="shared" ca="1" si="35"/>
        <v>1</v>
      </c>
      <c r="X164" t="b">
        <f t="shared" ca="1" si="36"/>
        <v>1</v>
      </c>
      <c r="Y164" t="b">
        <f t="shared" ca="1" si="37"/>
        <v>1</v>
      </c>
    </row>
    <row r="165" spans="1:25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33"/>
        <v>0</v>
      </c>
      <c r="K165">
        <f t="shared" ca="1" si="38"/>
        <v>0.23343699189813022</v>
      </c>
      <c r="L165">
        <f t="shared" ca="1" si="39"/>
        <v>0.24524370232905443</v>
      </c>
      <c r="M165">
        <f t="shared" ca="1" si="40"/>
        <v>0.25122282775000687</v>
      </c>
      <c r="N165">
        <f t="shared" ca="1" si="41"/>
        <v>0.27009647802280845</v>
      </c>
      <c r="O165">
        <f t="shared" ca="1" si="34"/>
        <v>0.99999999999999989</v>
      </c>
      <c r="P165">
        <f t="shared" ca="1" si="42"/>
        <v>8.8460892447230505E-3</v>
      </c>
      <c r="Q165">
        <f t="shared" ca="1" si="43"/>
        <v>2.2292402006315265E-3</v>
      </c>
      <c r="R165">
        <f t="shared" ca="1" si="44"/>
        <v>8.7003387742531219E-3</v>
      </c>
      <c r="S165">
        <f t="shared" ca="1" si="45"/>
        <v>1.667250437828368E-2</v>
      </c>
      <c r="T165">
        <f t="shared" ca="1" si="46"/>
        <v>9.2738095825465518E-3</v>
      </c>
      <c r="U165">
        <f t="shared" ca="1" si="47"/>
        <v>1639.5191546919013</v>
      </c>
      <c r="V165">
        <f t="shared" ca="1" si="48"/>
        <v>1.9655900967994466E-3</v>
      </c>
      <c r="W165" t="b">
        <f t="shared" ca="1" si="35"/>
        <v>1</v>
      </c>
      <c r="X165" t="b">
        <f t="shared" ca="1" si="36"/>
        <v>1</v>
      </c>
      <c r="Y165" t="b">
        <f t="shared" ca="1" si="37"/>
        <v>1</v>
      </c>
    </row>
    <row r="166" spans="1:25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33"/>
        <v>0</v>
      </c>
      <c r="K166">
        <f t="shared" ca="1" si="38"/>
        <v>0.2332386188745697</v>
      </c>
      <c r="L166">
        <f t="shared" ca="1" si="39"/>
        <v>0.24329435879808448</v>
      </c>
      <c r="M166">
        <f t="shared" ca="1" si="40"/>
        <v>0.25232681590392286</v>
      </c>
      <c r="N166">
        <f t="shared" ca="1" si="41"/>
        <v>0.27114020642342285</v>
      </c>
      <c r="O166">
        <f t="shared" ca="1" si="34"/>
        <v>0.99999999999999989</v>
      </c>
      <c r="P166">
        <f t="shared" ca="1" si="42"/>
        <v>2.1810311338032115E-2</v>
      </c>
      <c r="Q166">
        <f t="shared" ca="1" si="43"/>
        <v>1.4550509731232735E-2</v>
      </c>
      <c r="R166">
        <f t="shared" ca="1" si="44"/>
        <v>2.7173498206243818E-2</v>
      </c>
      <c r="S166">
        <f t="shared" ca="1" si="45"/>
        <v>2.6631296079377174E-2</v>
      </c>
      <c r="T166">
        <f t="shared" ca="1" si="46"/>
        <v>2.2679376683829064E-2</v>
      </c>
      <c r="U166">
        <f t="shared" ca="1" si="47"/>
        <v>1676.7024271815121</v>
      </c>
      <c r="V166">
        <f t="shared" ca="1" si="48"/>
        <v>2.1477165545304294E-3</v>
      </c>
      <c r="W166" t="b">
        <f t="shared" ca="1" si="35"/>
        <v>1</v>
      </c>
      <c r="X166" t="b">
        <f t="shared" ca="1" si="36"/>
        <v>1</v>
      </c>
      <c r="Y166" t="b">
        <f t="shared" ca="1" si="37"/>
        <v>1</v>
      </c>
    </row>
    <row r="167" spans="1:25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33"/>
        <v>0</v>
      </c>
      <c r="K167">
        <f t="shared" ca="1" si="38"/>
        <v>0.23662659544067219</v>
      </c>
      <c r="L167">
        <f t="shared" ca="1" si="39"/>
        <v>0.24246539159828265</v>
      </c>
      <c r="M167">
        <f t="shared" ca="1" si="40"/>
        <v>0.25362156890306953</v>
      </c>
      <c r="N167">
        <f t="shared" ca="1" si="41"/>
        <v>0.26728644405797569</v>
      </c>
      <c r="O167">
        <f t="shared" ca="1" si="34"/>
        <v>1</v>
      </c>
      <c r="P167">
        <f t="shared" ca="1" si="42"/>
        <v>1.9172278948511846E-2</v>
      </c>
      <c r="Q167">
        <f t="shared" ca="1" si="43"/>
        <v>1.1570902225876052E-3</v>
      </c>
      <c r="R167">
        <f t="shared" ca="1" si="44"/>
        <v>9.7347105595600985E-3</v>
      </c>
      <c r="S167">
        <f t="shared" ca="1" si="45"/>
        <v>-9.698312023893374E-3</v>
      </c>
      <c r="T167">
        <f t="shared" ca="1" si="46"/>
        <v>4.5799555815277558E-3</v>
      </c>
      <c r="U167">
        <f t="shared" ca="1" si="47"/>
        <v>1684.3816498214433</v>
      </c>
      <c r="V167">
        <f t="shared" ca="1" si="48"/>
        <v>4.6827295652490664E-3</v>
      </c>
      <c r="W167" t="b">
        <f t="shared" ca="1" si="35"/>
        <v>1</v>
      </c>
      <c r="X167" t="b">
        <f t="shared" ca="1" si="36"/>
        <v>1</v>
      </c>
      <c r="Y167" t="b">
        <f t="shared" ca="1" si="37"/>
        <v>1</v>
      </c>
    </row>
    <row r="168" spans="1:25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33"/>
        <v>1</v>
      </c>
      <c r="K168">
        <f t="shared" ca="1" si="38"/>
        <v>0.25</v>
      </c>
      <c r="L168">
        <f t="shared" ca="1" si="39"/>
        <v>0.25</v>
      </c>
      <c r="M168">
        <f t="shared" ca="1" si="40"/>
        <v>0.25</v>
      </c>
      <c r="N168">
        <f t="shared" ca="1" si="41"/>
        <v>0.26779453081675836</v>
      </c>
      <c r="O168">
        <f t="shared" ca="1" si="34"/>
        <v>1.0177945308167584</v>
      </c>
      <c r="P168">
        <f t="shared" ca="1" si="42"/>
        <v>1.1723954169997274E-3</v>
      </c>
      <c r="Q168">
        <f t="shared" ca="1" si="43"/>
        <v>-3.1326986830500607E-3</v>
      </c>
      <c r="R168">
        <f t="shared" ca="1" si="44"/>
        <v>2.1342360906681781E-3</v>
      </c>
      <c r="S168">
        <f t="shared" ca="1" si="45"/>
        <v>2.6770586241950645E-3</v>
      </c>
      <c r="T168">
        <f t="shared" ca="1" si="46"/>
        <v>7.7467870901038794E-4</v>
      </c>
      <c r="U168">
        <f t="shared" ca="1" si="47"/>
        <v>1685.6865044234078</v>
      </c>
      <c r="V168">
        <f t="shared" ca="1" si="48"/>
        <v>1.2518834311448679E-2</v>
      </c>
      <c r="W168" t="b">
        <f t="shared" ca="1" si="35"/>
        <v>1</v>
      </c>
      <c r="X168" t="b">
        <f t="shared" ca="1" si="36"/>
        <v>1</v>
      </c>
      <c r="Y168" t="b">
        <f t="shared" ca="1" si="37"/>
        <v>1</v>
      </c>
    </row>
    <row r="169" spans="1:25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33"/>
        <v>0</v>
      </c>
      <c r="K169">
        <f t="shared" ca="1" si="38"/>
        <v>0.24714718342442946</v>
      </c>
      <c r="L169">
        <f t="shared" ca="1" si="39"/>
        <v>0.24574600580559111</v>
      </c>
      <c r="M169">
        <f t="shared" ca="1" si="40"/>
        <v>0.24415518022809657</v>
      </c>
      <c r="N169">
        <f t="shared" ca="1" si="41"/>
        <v>0.2629516305418827</v>
      </c>
      <c r="O169">
        <f t="shared" ca="1" si="34"/>
        <v>0.99999999999999978</v>
      </c>
      <c r="P169">
        <f t="shared" ca="1" si="42"/>
        <v>8.4632990897961537E-3</v>
      </c>
      <c r="Q169">
        <f t="shared" ca="1" si="43"/>
        <v>2.7459116426654692E-3</v>
      </c>
      <c r="R169">
        <f t="shared" ca="1" si="44"/>
        <v>-3.7453183520598588E-3</v>
      </c>
      <c r="S169">
        <f t="shared" ca="1" si="45"/>
        <v>1.656020818547464E-3</v>
      </c>
      <c r="T169">
        <f t="shared" ca="1" si="46"/>
        <v>2.3094464132261436E-3</v>
      </c>
      <c r="U169">
        <f t="shared" ca="1" si="47"/>
        <v>1689.579507074872</v>
      </c>
      <c r="V169">
        <f t="shared" ca="1" si="48"/>
        <v>8.8972654083792624E-3</v>
      </c>
      <c r="W169" t="b">
        <f t="shared" ca="1" si="35"/>
        <v>1</v>
      </c>
      <c r="X169" t="b">
        <f t="shared" ca="1" si="36"/>
        <v>1</v>
      </c>
      <c r="Y169" t="b">
        <f t="shared" ca="1" si="37"/>
        <v>1</v>
      </c>
    </row>
    <row r="170" spans="1:25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33"/>
        <v>0</v>
      </c>
      <c r="K170">
        <f t="shared" ca="1" si="38"/>
        <v>0.24561515120081243</v>
      </c>
      <c r="L170">
        <f t="shared" ca="1" si="39"/>
        <v>0.24754277322361304</v>
      </c>
      <c r="M170">
        <f t="shared" ca="1" si="40"/>
        <v>0.24253121281675843</v>
      </c>
      <c r="N170">
        <f t="shared" ca="1" si="41"/>
        <v>0.26431086275881605</v>
      </c>
      <c r="O170">
        <f t="shared" ca="1" si="34"/>
        <v>1</v>
      </c>
      <c r="P170">
        <f t="shared" ca="1" si="42"/>
        <v>1.2667581547555192E-3</v>
      </c>
      <c r="Q170">
        <f t="shared" ca="1" si="43"/>
        <v>1.4878597943163105E-2</v>
      </c>
      <c r="R170">
        <f t="shared" ca="1" si="44"/>
        <v>8.1085065605199507E-4</v>
      </c>
      <c r="S170">
        <f t="shared" ca="1" si="45"/>
        <v>1.2720156555772933E-2</v>
      </c>
      <c r="T170">
        <f t="shared" ca="1" si="46"/>
        <v>7.5121910217023271E-3</v>
      </c>
      <c r="U170">
        <f t="shared" ca="1" si="47"/>
        <v>1702.2719510783722</v>
      </c>
      <c r="V170">
        <f t="shared" ca="1" si="48"/>
        <v>3.15599963495522E-3</v>
      </c>
      <c r="W170" t="b">
        <f t="shared" ca="1" si="35"/>
        <v>1</v>
      </c>
      <c r="X170" t="b">
        <f t="shared" ca="1" si="36"/>
        <v>1</v>
      </c>
      <c r="Y170" t="b">
        <f t="shared" ca="1" si="37"/>
        <v>1</v>
      </c>
    </row>
    <row r="171" spans="1:25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33"/>
        <v>0</v>
      </c>
      <c r="K171">
        <f t="shared" ca="1" si="38"/>
        <v>0.23981951761793735</v>
      </c>
      <c r="L171">
        <f t="shared" ca="1" si="39"/>
        <v>0.25017059562442484</v>
      </c>
      <c r="M171">
        <f t="shared" ca="1" si="40"/>
        <v>0.24322946255074993</v>
      </c>
      <c r="N171">
        <f t="shared" ca="1" si="41"/>
        <v>0.26678042420688791</v>
      </c>
      <c r="O171">
        <f t="shared" ca="1" si="34"/>
        <v>1</v>
      </c>
      <c r="P171">
        <f t="shared" ca="1" si="42"/>
        <v>-3.5793357933579295E-2</v>
      </c>
      <c r="Q171">
        <f t="shared" ca="1" si="43"/>
        <v>-2.0086943486734101E-3</v>
      </c>
      <c r="R171">
        <f t="shared" ca="1" si="44"/>
        <v>-9.6486705457759607E-3</v>
      </c>
      <c r="S171">
        <f t="shared" ca="1" si="45"/>
        <v>-3.2650341495917422E-3</v>
      </c>
      <c r="T171">
        <f t="shared" ca="1" si="46"/>
        <v>-1.2491716553022062E-2</v>
      </c>
      <c r="U171">
        <f t="shared" ca="1" si="47"/>
        <v>1681.0076523693415</v>
      </c>
      <c r="V171">
        <f t="shared" ca="1" si="48"/>
        <v>5.7956335828751177E-3</v>
      </c>
      <c r="W171" t="b">
        <f t="shared" ca="1" si="35"/>
        <v>1</v>
      </c>
      <c r="X171" t="b">
        <f t="shared" ca="1" si="36"/>
        <v>1</v>
      </c>
      <c r="Y171" t="b">
        <f t="shared" ca="1" si="37"/>
        <v>1</v>
      </c>
    </row>
    <row r="172" spans="1:25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33"/>
        <v>0</v>
      </c>
      <c r="K172">
        <f t="shared" ca="1" si="38"/>
        <v>0.23474046613302516</v>
      </c>
      <c r="L172">
        <f t="shared" ca="1" si="39"/>
        <v>0.24999987440384377</v>
      </c>
      <c r="M172">
        <f t="shared" ca="1" si="40"/>
        <v>0.24671082597631086</v>
      </c>
      <c r="N172">
        <f t="shared" ca="1" si="41"/>
        <v>0.26854883348682018</v>
      </c>
      <c r="O172">
        <f t="shared" ca="1" si="34"/>
        <v>1</v>
      </c>
      <c r="P172">
        <f t="shared" ca="1" si="42"/>
        <v>-2.9249357607566532E-2</v>
      </c>
      <c r="Q172">
        <f t="shared" ca="1" si="43"/>
        <v>-8.9221341023791468E-3</v>
      </c>
      <c r="R172">
        <f t="shared" ca="1" si="44"/>
        <v>5.9497248252267064E-3</v>
      </c>
      <c r="S172">
        <f t="shared" ca="1" si="45"/>
        <v>-1.6712905705786006E-3</v>
      </c>
      <c r="T172">
        <f t="shared" ca="1" si="46"/>
        <v>-8.2453416705415214E-3</v>
      </c>
      <c r="U172">
        <f t="shared" ca="1" si="47"/>
        <v>1667.1471699247616</v>
      </c>
      <c r="V172">
        <f t="shared" ca="1" si="48"/>
        <v>5.249772705493233E-3</v>
      </c>
      <c r="W172" t="b">
        <f t="shared" ca="1" si="35"/>
        <v>1</v>
      </c>
      <c r="X172" t="b">
        <f t="shared" ca="1" si="36"/>
        <v>1</v>
      </c>
      <c r="Y172" t="b">
        <f t="shared" ca="1" si="37"/>
        <v>1</v>
      </c>
    </row>
    <row r="173" spans="1:25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33"/>
        <v>0</v>
      </c>
      <c r="K173">
        <f t="shared" ca="1" si="38"/>
        <v>0.23427976369178663</v>
      </c>
      <c r="L173">
        <f t="shared" ca="1" si="39"/>
        <v>0.25192699620869696</v>
      </c>
      <c r="M173">
        <f t="shared" ca="1" si="40"/>
        <v>0.24740160156100824</v>
      </c>
      <c r="N173">
        <f t="shared" ca="1" si="41"/>
        <v>0.26639163853850811</v>
      </c>
      <c r="O173">
        <f t="shared" ca="1" si="34"/>
        <v>0.99999999999999989</v>
      </c>
      <c r="P173">
        <f t="shared" ca="1" si="42"/>
        <v>3.4917774273485274E-3</v>
      </c>
      <c r="Q173">
        <f t="shared" ca="1" si="43"/>
        <v>1.3215725500894051E-2</v>
      </c>
      <c r="R173">
        <f t="shared" ca="1" si="44"/>
        <v>8.2803489575632456E-3</v>
      </c>
      <c r="S173">
        <f t="shared" ca="1" si="45"/>
        <v>-2.6115779957813961E-3</v>
      </c>
      <c r="T173">
        <f t="shared" ca="1" si="46"/>
        <v>5.4651066826733275E-3</v>
      </c>
      <c r="U173">
        <f t="shared" ca="1" si="47"/>
        <v>1676.2583070641174</v>
      </c>
      <c r="V173">
        <f t="shared" ca="1" si="48"/>
        <v>2.6178973895505803E-3</v>
      </c>
      <c r="W173" t="b">
        <f t="shared" ca="1" si="35"/>
        <v>1</v>
      </c>
      <c r="X173" t="b">
        <f t="shared" ca="1" si="36"/>
        <v>1</v>
      </c>
      <c r="Y173" t="b">
        <f t="shared" ca="1" si="37"/>
        <v>1</v>
      </c>
    </row>
    <row r="174" spans="1:25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33"/>
        <v>0</v>
      </c>
      <c r="K174">
        <f t="shared" ca="1" si="38"/>
        <v>0.23258794648783163</v>
      </c>
      <c r="L174">
        <f t="shared" ca="1" si="39"/>
        <v>0.25119020088476945</v>
      </c>
      <c r="M174">
        <f t="shared" ca="1" si="40"/>
        <v>0.24496525923466164</v>
      </c>
      <c r="N174">
        <f t="shared" ca="1" si="41"/>
        <v>0.27125659339273728</v>
      </c>
      <c r="O174">
        <f t="shared" ca="1" si="34"/>
        <v>1</v>
      </c>
      <c r="P174">
        <f t="shared" ca="1" si="42"/>
        <v>6.6225165562914289E-3</v>
      </c>
      <c r="Q174">
        <f t="shared" ca="1" si="43"/>
        <v>1.0979148592455249E-2</v>
      </c>
      <c r="R174">
        <f t="shared" ca="1" si="44"/>
        <v>3.9595248570170995E-3</v>
      </c>
      <c r="S174">
        <f t="shared" ca="1" si="45"/>
        <v>3.2461646916647137E-2</v>
      </c>
      <c r="T174">
        <f t="shared" ca="1" si="46"/>
        <v>1.3944569642509886E-2</v>
      </c>
      <c r="U174">
        <f t="shared" ca="1" si="47"/>
        <v>1699.6330077658085</v>
      </c>
      <c r="V174">
        <f t="shared" ca="1" si="48"/>
        <v>4.8649548542291365E-3</v>
      </c>
      <c r="W174" t="b">
        <f t="shared" ca="1" si="35"/>
        <v>1</v>
      </c>
      <c r="X174" t="b">
        <f t="shared" ca="1" si="36"/>
        <v>1</v>
      </c>
      <c r="Y174" t="b">
        <f t="shared" ca="1" si="37"/>
        <v>1</v>
      </c>
    </row>
    <row r="175" spans="1:25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33"/>
        <v>0</v>
      </c>
      <c r="K175">
        <f t="shared" ca="1" si="38"/>
        <v>0.23247536139383962</v>
      </c>
      <c r="L175">
        <f t="shared" ca="1" si="39"/>
        <v>0.25076286116251872</v>
      </c>
      <c r="M175">
        <f t="shared" ca="1" si="40"/>
        <v>0.24622196293172902</v>
      </c>
      <c r="N175">
        <f t="shared" ca="1" si="41"/>
        <v>0.27053981451191272</v>
      </c>
      <c r="O175">
        <f t="shared" ca="1" si="34"/>
        <v>1</v>
      </c>
      <c r="P175">
        <f t="shared" ca="1" si="42"/>
        <v>-1.7060660124888504E-2</v>
      </c>
      <c r="Q175">
        <f t="shared" ca="1" si="43"/>
        <v>-1.8257678877907368E-2</v>
      </c>
      <c r="R175">
        <f t="shared" ca="1" si="44"/>
        <v>-1.1539585159216947E-2</v>
      </c>
      <c r="S175">
        <f t="shared" ca="1" si="45"/>
        <v>-1.9183248796982629E-2</v>
      </c>
      <c r="T175">
        <f t="shared" ca="1" si="46"/>
        <v>-1.6584634118068681E-2</v>
      </c>
      <c r="U175">
        <f t="shared" ca="1" si="47"/>
        <v>1671.44521619702</v>
      </c>
      <c r="V175">
        <f t="shared" ca="1" si="48"/>
        <v>1.2567036970673323E-3</v>
      </c>
      <c r="W175" t="b">
        <f t="shared" ca="1" si="35"/>
        <v>1</v>
      </c>
      <c r="X175" t="b">
        <f t="shared" ca="1" si="36"/>
        <v>1</v>
      </c>
      <c r="Y175" t="b">
        <f t="shared" ca="1" si="37"/>
        <v>1</v>
      </c>
    </row>
    <row r="176" spans="1:25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33"/>
        <v>0</v>
      </c>
      <c r="K176">
        <f t="shared" ca="1" si="38"/>
        <v>0.22834290750174294</v>
      </c>
      <c r="L176">
        <f t="shared" ca="1" si="39"/>
        <v>0.25248335552200241</v>
      </c>
      <c r="M176">
        <f t="shared" ca="1" si="40"/>
        <v>0.24722405591334112</v>
      </c>
      <c r="N176">
        <f t="shared" ca="1" si="41"/>
        <v>0.27194968106291367</v>
      </c>
      <c r="O176">
        <f t="shared" ca="1" si="34"/>
        <v>1</v>
      </c>
      <c r="P176">
        <f t="shared" ca="1" si="42"/>
        <v>-1.1854792966534335E-2</v>
      </c>
      <c r="Q176">
        <f t="shared" ca="1" si="43"/>
        <v>1.2930644723754471E-2</v>
      </c>
      <c r="R176">
        <f t="shared" ca="1" si="44"/>
        <v>1.0122654056450454E-2</v>
      </c>
      <c r="S176">
        <f t="shared" ca="1" si="45"/>
        <v>1.1270967314194712E-2</v>
      </c>
      <c r="T176">
        <f t="shared" ca="1" si="46"/>
        <v>6.0282433468706077E-3</v>
      </c>
      <c r="U176">
        <f t="shared" ca="1" si="47"/>
        <v>1681.5210947012183</v>
      </c>
      <c r="V176">
        <f t="shared" ca="1" si="48"/>
        <v>4.1324538920967102E-3</v>
      </c>
      <c r="W176" t="b">
        <f t="shared" ca="1" si="35"/>
        <v>1</v>
      </c>
      <c r="X176" t="b">
        <f t="shared" ca="1" si="36"/>
        <v>1</v>
      </c>
      <c r="Y176" t="b">
        <f t="shared" ca="1" si="37"/>
        <v>1</v>
      </c>
    </row>
    <row r="177" spans="1:25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33"/>
        <v>0</v>
      </c>
      <c r="K177">
        <f t="shared" ca="1" si="38"/>
        <v>0.22751808199746074</v>
      </c>
      <c r="L177">
        <f t="shared" ca="1" si="39"/>
        <v>0.25134021191732869</v>
      </c>
      <c r="M177">
        <f t="shared" ca="1" si="40"/>
        <v>0.2466692267100056</v>
      </c>
      <c r="N177">
        <f t="shared" ca="1" si="41"/>
        <v>0.27447247937520503</v>
      </c>
      <c r="O177">
        <f t="shared" ca="1" si="34"/>
        <v>1</v>
      </c>
      <c r="P177">
        <f t="shared" ca="1" si="42"/>
        <v>8.7825038746340688E-3</v>
      </c>
      <c r="Q177">
        <f t="shared" ca="1" si="43"/>
        <v>7.8557400464202409E-3</v>
      </c>
      <c r="R177">
        <f t="shared" ca="1" si="44"/>
        <v>1.0167507863360297E-2</v>
      </c>
      <c r="S177">
        <f t="shared" ca="1" si="45"/>
        <v>2.1831770799187127E-2</v>
      </c>
      <c r="T177">
        <f t="shared" ca="1" si="46"/>
        <v>1.2439661715296313E-2</v>
      </c>
      <c r="U177">
        <f t="shared" ca="1" si="47"/>
        <v>1702.4386482864363</v>
      </c>
      <c r="V177">
        <f t="shared" ca="1" si="48"/>
        <v>2.5227983122913938E-3</v>
      </c>
      <c r="W177" t="b">
        <f t="shared" ca="1" si="35"/>
        <v>1</v>
      </c>
      <c r="X177" t="b">
        <f t="shared" ca="1" si="36"/>
        <v>1</v>
      </c>
      <c r="Y177" t="b">
        <f t="shared" ca="1" si="37"/>
        <v>1</v>
      </c>
    </row>
    <row r="178" spans="1:25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33"/>
        <v>0</v>
      </c>
      <c r="K178">
        <f t="shared" ca="1" si="38"/>
        <v>0.23085179251879706</v>
      </c>
      <c r="L178">
        <f t="shared" ca="1" si="39"/>
        <v>0.24967510649979707</v>
      </c>
      <c r="M178">
        <f t="shared" ca="1" si="40"/>
        <v>0.25005360317259473</v>
      </c>
      <c r="N178">
        <f t="shared" ca="1" si="41"/>
        <v>0.26941949780881119</v>
      </c>
      <c r="O178">
        <f t="shared" ca="1" si="34"/>
        <v>1</v>
      </c>
      <c r="P178">
        <f t="shared" ca="1" si="42"/>
        <v>-4.1538636622283952E-3</v>
      </c>
      <c r="Q178">
        <f t="shared" ca="1" si="43"/>
        <v>-2.5036905816356543E-2</v>
      </c>
      <c r="R178">
        <f t="shared" ca="1" si="44"/>
        <v>-5.0687907313540087E-3</v>
      </c>
      <c r="S178">
        <f t="shared" ca="1" si="45"/>
        <v>-3.6603361991530935E-2</v>
      </c>
      <c r="T178">
        <f t="shared" ca="1" si="46"/>
        <v>-1.853479051628798E-2</v>
      </c>
      <c r="U178">
        <f t="shared" ca="1" si="47"/>
        <v>1670.8843045736146</v>
      </c>
      <c r="V178">
        <f t="shared" ca="1" si="48"/>
        <v>6.7180869839254531E-3</v>
      </c>
      <c r="W178" t="b">
        <f t="shared" ca="1" si="35"/>
        <v>1</v>
      </c>
      <c r="X178" t="b">
        <f t="shared" ca="1" si="36"/>
        <v>1</v>
      </c>
      <c r="Y178" t="b">
        <f t="shared" ca="1" si="37"/>
        <v>1</v>
      </c>
    </row>
    <row r="179" spans="1:25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33"/>
        <v>0</v>
      </c>
      <c r="K179">
        <f t="shared" ca="1" si="38"/>
        <v>0.23323762602533907</v>
      </c>
      <c r="L179">
        <f t="shared" ca="1" si="39"/>
        <v>0.24718857263020638</v>
      </c>
      <c r="M179">
        <f t="shared" ca="1" si="40"/>
        <v>0.24990058731806841</v>
      </c>
      <c r="N179">
        <f t="shared" ca="1" si="41"/>
        <v>0.26967321402638611</v>
      </c>
      <c r="O179">
        <f t="shared" ca="1" si="34"/>
        <v>1</v>
      </c>
      <c r="P179">
        <f t="shared" ca="1" si="42"/>
        <v>1.691331923890068E-2</v>
      </c>
      <c r="Q179">
        <f t="shared" ca="1" si="43"/>
        <v>-3.5128096420568859E-3</v>
      </c>
      <c r="R179">
        <f t="shared" ca="1" si="44"/>
        <v>5.895196506550235E-3</v>
      </c>
      <c r="S179">
        <f t="shared" ca="1" si="45"/>
        <v>7.4589590756218875E-3</v>
      </c>
      <c r="T179">
        <f t="shared" ca="1" si="46"/>
        <v>6.5111130784527137E-3</v>
      </c>
      <c r="U179">
        <f t="shared" ca="1" si="47"/>
        <v>1681.7636212217053</v>
      </c>
      <c r="V179">
        <f t="shared" ca="1" si="48"/>
        <v>2.6395497241169658E-3</v>
      </c>
      <c r="W179" t="b">
        <f t="shared" ca="1" si="35"/>
        <v>1</v>
      </c>
      <c r="X179" t="b">
        <f t="shared" ca="1" si="36"/>
        <v>1</v>
      </c>
      <c r="Y179" t="b">
        <f t="shared" ca="1" si="37"/>
        <v>1</v>
      </c>
    </row>
    <row r="180" spans="1:25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33"/>
        <v>0</v>
      </c>
      <c r="K180">
        <f t="shared" ca="1" si="38"/>
        <v>0.23396040736961574</v>
      </c>
      <c r="L180">
        <f t="shared" ca="1" si="39"/>
        <v>0.2461243920003692</v>
      </c>
      <c r="M180">
        <f t="shared" ca="1" si="40"/>
        <v>0.24882870755955372</v>
      </c>
      <c r="N180">
        <f t="shared" ca="1" si="41"/>
        <v>0.27108649307046129</v>
      </c>
      <c r="O180">
        <f t="shared" ca="1" si="34"/>
        <v>1</v>
      </c>
      <c r="P180">
        <f t="shared" ca="1" si="42"/>
        <v>6.1808169916277708E-3</v>
      </c>
      <c r="Q180">
        <f t="shared" ca="1" si="43"/>
        <v>-1.245973378715204E-3</v>
      </c>
      <c r="R180">
        <f t="shared" ca="1" si="44"/>
        <v>-1.2300123001231164E-3</v>
      </c>
      <c r="S180">
        <f t="shared" ca="1" si="45"/>
        <v>8.3292017848288942E-3</v>
      </c>
      <c r="T180">
        <f t="shared" ca="1" si="46"/>
        <v>3.072390520384397E-3</v>
      </c>
      <c r="U180">
        <f t="shared" ca="1" si="47"/>
        <v>1686.9306558290743</v>
      </c>
      <c r="V180">
        <f t="shared" ca="1" si="48"/>
        <v>2.1360603883518597E-3</v>
      </c>
      <c r="W180" t="b">
        <f t="shared" ca="1" si="35"/>
        <v>1</v>
      </c>
      <c r="X180" t="b">
        <f t="shared" ca="1" si="36"/>
        <v>1</v>
      </c>
      <c r="Y180" t="b">
        <f t="shared" ca="1" si="37"/>
        <v>1</v>
      </c>
    </row>
    <row r="181" spans="1:25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33"/>
        <v>0</v>
      </c>
      <c r="K181">
        <f t="shared" ca="1" si="38"/>
        <v>0.23471149382472908</v>
      </c>
      <c r="L181">
        <f t="shared" ca="1" si="39"/>
        <v>0.24591057886305878</v>
      </c>
      <c r="M181">
        <f t="shared" ca="1" si="40"/>
        <v>0.24678530758932057</v>
      </c>
      <c r="N181">
        <f t="shared" ca="1" si="41"/>
        <v>0.27259261972289156</v>
      </c>
      <c r="O181">
        <f t="shared" ca="1" si="34"/>
        <v>1</v>
      </c>
      <c r="P181">
        <f t="shared" ca="1" si="42"/>
        <v>-1.99921818283352E-2</v>
      </c>
      <c r="Q181">
        <f t="shared" ca="1" si="43"/>
        <v>-2.3976875095085944E-2</v>
      </c>
      <c r="R181">
        <f t="shared" ca="1" si="44"/>
        <v>-3.1150391190959019E-2</v>
      </c>
      <c r="S181">
        <f t="shared" ca="1" si="45"/>
        <v>-1.770085554135109E-2</v>
      </c>
      <c r="T181">
        <f t="shared" ca="1" si="46"/>
        <v>-2.3128247242684107E-2</v>
      </c>
      <c r="U181">
        <f t="shared" ca="1" si="47"/>
        <v>1647.9149065397962</v>
      </c>
      <c r="V181">
        <f t="shared" ca="1" si="48"/>
        <v>2.2572131075435931E-3</v>
      </c>
      <c r="W181" t="b">
        <f t="shared" ca="1" si="35"/>
        <v>1</v>
      </c>
      <c r="X181" t="b">
        <f t="shared" ca="1" si="36"/>
        <v>1</v>
      </c>
      <c r="Y181" t="b">
        <f t="shared" ca="1" si="37"/>
        <v>1</v>
      </c>
    </row>
    <row r="182" spans="1:25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33"/>
        <v>0</v>
      </c>
      <c r="K182">
        <f t="shared" ca="1" si="38"/>
        <v>0.23561987703532844</v>
      </c>
      <c r="L182">
        <f t="shared" ca="1" si="39"/>
        <v>0.24811358955017715</v>
      </c>
      <c r="M182">
        <f t="shared" ca="1" si="40"/>
        <v>0.24379467535336266</v>
      </c>
      <c r="N182">
        <f t="shared" ca="1" si="41"/>
        <v>0.27247185806113183</v>
      </c>
      <c r="O182">
        <f t="shared" ca="1" si="34"/>
        <v>1</v>
      </c>
      <c r="P182">
        <f t="shared" ca="1" si="42"/>
        <v>-8.8893954071457195E-3</v>
      </c>
      <c r="Q182">
        <f t="shared" ca="1" si="43"/>
        <v>-3.8656981637934006E-3</v>
      </c>
      <c r="R182">
        <f t="shared" ca="1" si="44"/>
        <v>-2.4674742036787881E-2</v>
      </c>
      <c r="S182">
        <f t="shared" ca="1" si="45"/>
        <v>-1.3147795908833042E-2</v>
      </c>
      <c r="T182">
        <f t="shared" ca="1" si="46"/>
        <v>-1.2710415281984707E-2</v>
      </c>
      <c r="U182">
        <f t="shared" ca="1" si="47"/>
        <v>1626.9692237283025</v>
      </c>
      <c r="V182">
        <f t="shared" ca="1" si="48"/>
        <v>3.1113938977176819E-3</v>
      </c>
      <c r="W182" t="b">
        <f t="shared" ca="1" si="35"/>
        <v>1</v>
      </c>
      <c r="X182" t="b">
        <f t="shared" ca="1" si="36"/>
        <v>1</v>
      </c>
      <c r="Y182" t="b">
        <f t="shared" ca="1" si="37"/>
        <v>1</v>
      </c>
    </row>
    <row r="183" spans="1:25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33"/>
        <v>0</v>
      </c>
      <c r="K183">
        <f t="shared" ca="1" si="38"/>
        <v>0.23632650620163775</v>
      </c>
      <c r="L183">
        <f t="shared" ca="1" si="39"/>
        <v>0.24568028017524632</v>
      </c>
      <c r="M183">
        <f t="shared" ca="1" si="40"/>
        <v>0.24296828153386008</v>
      </c>
      <c r="N183">
        <f t="shared" ca="1" si="41"/>
        <v>0.27502493208925594</v>
      </c>
      <c r="O183">
        <f t="shared" ca="1" si="34"/>
        <v>1</v>
      </c>
      <c r="P183">
        <f t="shared" ca="1" si="42"/>
        <v>4.9445179095037378E-3</v>
      </c>
      <c r="Q183">
        <f t="shared" ca="1" si="43"/>
        <v>-7.8865834193971827E-3</v>
      </c>
      <c r="R183">
        <f t="shared" ca="1" si="44"/>
        <v>-1.4566084023305561E-3</v>
      </c>
      <c r="S183">
        <f t="shared" ca="1" si="45"/>
        <v>1.1327900449734439E-2</v>
      </c>
      <c r="T183">
        <f t="shared" ca="1" si="46"/>
        <v>1.9396788912702202E-3</v>
      </c>
      <c r="U183">
        <f t="shared" ca="1" si="47"/>
        <v>1630.1250215883147</v>
      </c>
      <c r="V183">
        <f t="shared" ca="1" si="48"/>
        <v>3.2597031944334165E-3</v>
      </c>
      <c r="W183" t="b">
        <f t="shared" ca="1" si="35"/>
        <v>1</v>
      </c>
      <c r="X183" t="b">
        <f t="shared" ca="1" si="36"/>
        <v>1</v>
      </c>
      <c r="Y183" t="b">
        <f t="shared" ca="1" si="37"/>
        <v>1</v>
      </c>
    </row>
    <row r="184" spans="1:25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33"/>
        <v>0</v>
      </c>
      <c r="K184">
        <f t="shared" ca="1" si="38"/>
        <v>0.23679943062687767</v>
      </c>
      <c r="L184">
        <f t="shared" ca="1" si="39"/>
        <v>0.24477696696871079</v>
      </c>
      <c r="M184">
        <f t="shared" ca="1" si="40"/>
        <v>0.24326657438620924</v>
      </c>
      <c r="N184">
        <f t="shared" ca="1" si="41"/>
        <v>0.27515702801820235</v>
      </c>
      <c r="O184">
        <f t="shared" ca="1" si="34"/>
        <v>1</v>
      </c>
      <c r="P184">
        <f t="shared" ca="1" si="42"/>
        <v>7.380284913324678E-3</v>
      </c>
      <c r="Q184">
        <f t="shared" ca="1" si="43"/>
        <v>1.6718715497934752E-3</v>
      </c>
      <c r="R184">
        <f t="shared" ca="1" si="44"/>
        <v>6.6026871401152678E-3</v>
      </c>
      <c r="S184">
        <f t="shared" ca="1" si="45"/>
        <v>5.8512772502340516E-3</v>
      </c>
      <c r="T184">
        <f t="shared" ca="1" si="46"/>
        <v>5.3683934954295142E-3</v>
      </c>
      <c r="U184">
        <f t="shared" ca="1" si="47"/>
        <v>1638.8761741509463</v>
      </c>
      <c r="V184">
        <f t="shared" ca="1" si="48"/>
        <v>9.0331320653551372E-4</v>
      </c>
      <c r="W184" t="b">
        <f t="shared" ca="1" si="35"/>
        <v>1</v>
      </c>
      <c r="X184" t="b">
        <f t="shared" ca="1" si="36"/>
        <v>1</v>
      </c>
      <c r="Y184" t="b">
        <f t="shared" ca="1" si="37"/>
        <v>1</v>
      </c>
    </row>
    <row r="185" spans="1:25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33"/>
        <v>0</v>
      </c>
      <c r="K185">
        <f t="shared" ca="1" si="38"/>
        <v>0.23505144632399311</v>
      </c>
      <c r="L185">
        <f t="shared" ca="1" si="39"/>
        <v>0.2445605496874978</v>
      </c>
      <c r="M185">
        <f t="shared" ca="1" si="40"/>
        <v>0.24245672994641668</v>
      </c>
      <c r="N185">
        <f t="shared" ca="1" si="41"/>
        <v>0.2779312740420925</v>
      </c>
      <c r="O185">
        <f t="shared" ca="1" si="34"/>
        <v>1</v>
      </c>
      <c r="P185">
        <f t="shared" ca="1" si="42"/>
        <v>-2.3398455247614743E-2</v>
      </c>
      <c r="Q185">
        <f t="shared" ca="1" si="43"/>
        <v>-1.70057315613782E-2</v>
      </c>
      <c r="R185">
        <f t="shared" ca="1" si="44"/>
        <v>-1.941118145069038E-2</v>
      </c>
      <c r="S185">
        <f t="shared" ca="1" si="45"/>
        <v>-6.2161353588405565E-3</v>
      </c>
      <c r="T185">
        <f t="shared" ca="1" si="46"/>
        <v>-1.6135857220257888E-2</v>
      </c>
      <c r="U185">
        <f t="shared" ca="1" si="47"/>
        <v>1612.4315022031642</v>
      </c>
      <c r="V185">
        <f t="shared" ca="1" si="48"/>
        <v>2.774246023890134E-3</v>
      </c>
      <c r="W185" t="b">
        <f t="shared" ca="1" si="35"/>
        <v>1</v>
      </c>
      <c r="X185" t="b">
        <f t="shared" ca="1" si="36"/>
        <v>1</v>
      </c>
      <c r="Y185" t="b">
        <f t="shared" ca="1" si="37"/>
        <v>1</v>
      </c>
    </row>
    <row r="186" spans="1:25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33"/>
        <v>0</v>
      </c>
      <c r="K186">
        <f t="shared" ca="1" si="38"/>
        <v>0.23272543202585094</v>
      </c>
      <c r="L186">
        <f t="shared" ca="1" si="39"/>
        <v>0.24482296072085424</v>
      </c>
      <c r="M186">
        <f t="shared" ca="1" si="40"/>
        <v>0.24593333972716269</v>
      </c>
      <c r="N186">
        <f t="shared" ca="1" si="41"/>
        <v>0.27651826752613201</v>
      </c>
      <c r="O186">
        <f t="shared" ca="1" si="34"/>
        <v>0.99999999999999978</v>
      </c>
      <c r="P186">
        <f t="shared" ca="1" si="42"/>
        <v>-8.8974180041870264E-3</v>
      </c>
      <c r="Q186">
        <f t="shared" ca="1" si="43"/>
        <v>2.0823989235600505E-3</v>
      </c>
      <c r="R186">
        <f t="shared" ca="1" si="44"/>
        <v>1.5361879205071321E-2</v>
      </c>
      <c r="S186">
        <f t="shared" ca="1" si="45"/>
        <v>-4.0808134867539826E-3</v>
      </c>
      <c r="T186">
        <f t="shared" ca="1" si="46"/>
        <v>1.008326961372966E-3</v>
      </c>
      <c r="U186">
        <f t="shared" ca="1" si="47"/>
        <v>1614.0573603602029</v>
      </c>
      <c r="V186">
        <f t="shared" ca="1" si="48"/>
        <v>3.7390208141025588E-3</v>
      </c>
      <c r="W186" t="b">
        <f t="shared" ca="1" si="35"/>
        <v>1</v>
      </c>
      <c r="X186" t="b">
        <f t="shared" ca="1" si="36"/>
        <v>1</v>
      </c>
      <c r="Y186" t="b">
        <f t="shared" ca="1" si="37"/>
        <v>1</v>
      </c>
    </row>
    <row r="187" spans="1:25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33"/>
        <v>0</v>
      </c>
      <c r="K187">
        <f t="shared" ca="1" si="38"/>
        <v>0.23074266893953951</v>
      </c>
      <c r="L187">
        <f t="shared" ca="1" si="39"/>
        <v>0.2430260134703133</v>
      </c>
      <c r="M187">
        <f t="shared" ca="1" si="40"/>
        <v>0.2467678064701988</v>
      </c>
      <c r="N187">
        <f t="shared" ca="1" si="41"/>
        <v>0.27946351111994838</v>
      </c>
      <c r="O187">
        <f t="shared" ca="1" si="34"/>
        <v>1</v>
      </c>
      <c r="P187">
        <f t="shared" ca="1" si="42"/>
        <v>1.5255530129671471E-3</v>
      </c>
      <c r="Q187">
        <f t="shared" ca="1" si="43"/>
        <v>2.71747818024862E-3</v>
      </c>
      <c r="R187">
        <f t="shared" ca="1" si="44"/>
        <v>1.3559062356365944E-2</v>
      </c>
      <c r="S187">
        <f t="shared" ca="1" si="45"/>
        <v>2.0890710015449621E-2</v>
      </c>
      <c r="T187">
        <f t="shared" ca="1" si="46"/>
        <v>1.0131624467536775E-2</v>
      </c>
      <c r="U187">
        <f t="shared" ca="1" si="47"/>
        <v>1630.4103834044361</v>
      </c>
      <c r="V187">
        <f t="shared" ca="1" si="48"/>
        <v>3.7797103368524265E-3</v>
      </c>
      <c r="W187" t="b">
        <f t="shared" ca="1" si="35"/>
        <v>1</v>
      </c>
      <c r="X187" t="b">
        <f t="shared" ca="1" si="36"/>
        <v>1</v>
      </c>
      <c r="Y187" t="b">
        <f t="shared" ca="1" si="37"/>
        <v>1</v>
      </c>
    </row>
    <row r="188" spans="1:25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33"/>
        <v>1</v>
      </c>
      <c r="K188">
        <f t="shared" ca="1" si="38"/>
        <v>0.25</v>
      </c>
      <c r="L188">
        <f t="shared" ca="1" si="39"/>
        <v>0.25</v>
      </c>
      <c r="M188">
        <f t="shared" ca="1" si="40"/>
        <v>0.25</v>
      </c>
      <c r="N188">
        <f t="shared" ca="1" si="41"/>
        <v>0.27707255018630955</v>
      </c>
      <c r="O188">
        <f t="shared" ca="1" si="34"/>
        <v>1.0270725501863096</v>
      </c>
      <c r="P188">
        <f t="shared" ca="1" si="42"/>
        <v>3.0464584920031064E-3</v>
      </c>
      <c r="Q188">
        <f t="shared" ca="1" si="43"/>
        <v>6.7274582323683645E-3</v>
      </c>
      <c r="R188">
        <f t="shared" ca="1" si="44"/>
        <v>-1.0959111178293316E-2</v>
      </c>
      <c r="S188">
        <f t="shared" ca="1" si="45"/>
        <v>-1.2337149624950652E-2</v>
      </c>
      <c r="T188">
        <f t="shared" ca="1" si="46"/>
        <v>-3.814243659472495E-3</v>
      </c>
      <c r="U188">
        <f t="shared" ca="1" si="47"/>
        <v>1624.1916009371976</v>
      </c>
      <c r="V188">
        <f t="shared" ca="1" si="48"/>
        <v>1.5927236026793606E-2</v>
      </c>
      <c r="W188" t="b">
        <f t="shared" ca="1" si="35"/>
        <v>1</v>
      </c>
      <c r="X188" t="b">
        <f t="shared" ca="1" si="36"/>
        <v>1</v>
      </c>
      <c r="Y188" t="b">
        <f t="shared" ca="1" si="37"/>
        <v>1</v>
      </c>
    </row>
    <row r="189" spans="1:25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33"/>
        <v>0</v>
      </c>
      <c r="K189">
        <f t="shared" ca="1" si="38"/>
        <v>0.24208962455302421</v>
      </c>
      <c r="L189">
        <f t="shared" ca="1" si="39"/>
        <v>0.24312139076656727</v>
      </c>
      <c r="M189">
        <f t="shared" ca="1" si="40"/>
        <v>0.24458453581688253</v>
      </c>
      <c r="N189">
        <f t="shared" ca="1" si="41"/>
        <v>0.2702044488635259</v>
      </c>
      <c r="O189">
        <f t="shared" ca="1" si="34"/>
        <v>0.99999999999999989</v>
      </c>
      <c r="P189">
        <f t="shared" ca="1" si="42"/>
        <v>1.4835582033759663E-2</v>
      </c>
      <c r="Q189">
        <f t="shared" ca="1" si="43"/>
        <v>1.9160728424386417E-2</v>
      </c>
      <c r="R189">
        <f t="shared" ca="1" si="44"/>
        <v>2.529420755005329E-2</v>
      </c>
      <c r="S189">
        <f t="shared" ca="1" si="45"/>
        <v>2.2017920788781235E-2</v>
      </c>
      <c r="T189">
        <f t="shared" ca="1" si="46"/>
        <v>2.0923190964797618E-2</v>
      </c>
      <c r="U189">
        <f t="shared" ca="1" si="47"/>
        <v>1658.1748719670268</v>
      </c>
      <c r="V189">
        <f t="shared" ca="1" si="48"/>
        <v>1.3536275093154818E-2</v>
      </c>
      <c r="W189" t="b">
        <f t="shared" ca="1" si="35"/>
        <v>1</v>
      </c>
      <c r="X189" t="b">
        <f t="shared" ca="1" si="36"/>
        <v>1</v>
      </c>
      <c r="Y189" t="b">
        <f t="shared" ca="1" si="37"/>
        <v>1</v>
      </c>
    </row>
    <row r="190" spans="1:25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33"/>
        <v>0</v>
      </c>
      <c r="K190">
        <f t="shared" ca="1" si="38"/>
        <v>0.24425968483133481</v>
      </c>
      <c r="L190">
        <f t="shared" ca="1" si="39"/>
        <v>0.24076060908199437</v>
      </c>
      <c r="M190">
        <f t="shared" ca="1" si="40"/>
        <v>0.24548396046037416</v>
      </c>
      <c r="N190">
        <f t="shared" ca="1" si="41"/>
        <v>0.26949574562629663</v>
      </c>
      <c r="O190">
        <f t="shared" ca="1" si="34"/>
        <v>1</v>
      </c>
      <c r="P190">
        <f t="shared" ca="1" si="42"/>
        <v>-7.769784172661838E-3</v>
      </c>
      <c r="Q190">
        <f t="shared" ca="1" si="43"/>
        <v>-2.613424487259175E-2</v>
      </c>
      <c r="R190">
        <f t="shared" ca="1" si="44"/>
        <v>-1.2968621897592464E-2</v>
      </c>
      <c r="S190">
        <f t="shared" ca="1" si="45"/>
        <v>-1.9164330878039228E-2</v>
      </c>
      <c r="T190">
        <f t="shared" ca="1" si="46"/>
        <v>-1.6584989923022424E-2</v>
      </c>
      <c r="U190">
        <f t="shared" ca="1" si="47"/>
        <v>1630.6740584248448</v>
      </c>
      <c r="V190">
        <f t="shared" ca="1" si="48"/>
        <v>3.0694849218022013E-3</v>
      </c>
      <c r="W190" t="b">
        <f t="shared" ca="1" si="35"/>
        <v>1</v>
      </c>
      <c r="X190" t="b">
        <f t="shared" ca="1" si="36"/>
        <v>1</v>
      </c>
      <c r="Y190" t="b">
        <f t="shared" ca="1" si="37"/>
        <v>1</v>
      </c>
    </row>
    <row r="191" spans="1:25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33"/>
        <v>0</v>
      </c>
      <c r="K191">
        <f t="shared" ca="1" si="38"/>
        <v>0.24185264564626169</v>
      </c>
      <c r="L191">
        <f t="shared" ca="1" si="39"/>
        <v>0.24086085768879437</v>
      </c>
      <c r="M191">
        <f t="shared" ca="1" si="40"/>
        <v>0.24829816675882077</v>
      </c>
      <c r="N191">
        <f t="shared" ca="1" si="41"/>
        <v>0.2689883299061232</v>
      </c>
      <c r="O191">
        <f t="shared" ca="1" si="34"/>
        <v>1</v>
      </c>
      <c r="P191">
        <f t="shared" ca="1" si="42"/>
        <v>7.3085846867748886E-3</v>
      </c>
      <c r="Q191">
        <f t="shared" ca="1" si="43"/>
        <v>1.7757426848335933E-2</v>
      </c>
      <c r="R191">
        <f t="shared" ca="1" si="44"/>
        <v>2.8996450955221652E-2</v>
      </c>
      <c r="S191">
        <f t="shared" ca="1" si="45"/>
        <v>1.5418355818435524E-2</v>
      </c>
      <c r="T191">
        <f t="shared" ca="1" si="46"/>
        <v>1.7333826413292713E-2</v>
      </c>
      <c r="U191">
        <f t="shared" ca="1" si="47"/>
        <v>1658.9398794902406</v>
      </c>
      <c r="V191">
        <f t="shared" ca="1" si="48"/>
        <v>2.9144549052465829E-3</v>
      </c>
      <c r="W191" t="b">
        <f t="shared" ca="1" si="35"/>
        <v>1</v>
      </c>
      <c r="X191" t="b">
        <f t="shared" ca="1" si="36"/>
        <v>1</v>
      </c>
      <c r="Y191" t="b">
        <f t="shared" ca="1" si="37"/>
        <v>1</v>
      </c>
    </row>
    <row r="192" spans="1:25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33"/>
        <v>0</v>
      </c>
      <c r="K192">
        <f t="shared" ca="1" si="38"/>
        <v>0.24338878104403425</v>
      </c>
      <c r="L192">
        <f t="shared" ca="1" si="39"/>
        <v>0.2409640219931877</v>
      </c>
      <c r="M192">
        <f t="shared" ca="1" si="40"/>
        <v>0.24757973909888065</v>
      </c>
      <c r="N192">
        <f t="shared" ca="1" si="41"/>
        <v>0.26806745786389757</v>
      </c>
      <c r="O192">
        <f t="shared" ca="1" si="34"/>
        <v>1.0000000000000002</v>
      </c>
      <c r="P192">
        <f t="shared" ca="1" si="42"/>
        <v>7.1979730507888981E-3</v>
      </c>
      <c r="Q192">
        <f t="shared" ca="1" si="43"/>
        <v>1.2697715978744011E-3</v>
      </c>
      <c r="R192">
        <f t="shared" ca="1" si="44"/>
        <v>-2.0547442577236452E-3</v>
      </c>
      <c r="S192">
        <f t="shared" ca="1" si="45"/>
        <v>-2.5852477256363758E-3</v>
      </c>
      <c r="T192">
        <f t="shared" ca="1" si="46"/>
        <v>8.4109640129316065E-4</v>
      </c>
      <c r="U192">
        <f t="shared" ca="1" si="47"/>
        <v>1660.3352078528417</v>
      </c>
      <c r="V192">
        <f t="shared" ca="1" si="48"/>
        <v>1.6392997021658223E-3</v>
      </c>
      <c r="W192" t="b">
        <f t="shared" ca="1" si="35"/>
        <v>1</v>
      </c>
      <c r="X192" t="b">
        <f t="shared" ca="1" si="36"/>
        <v>1</v>
      </c>
      <c r="Y192" t="b">
        <f t="shared" ca="1" si="37"/>
        <v>1</v>
      </c>
    </row>
    <row r="193" spans="1:25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33"/>
        <v>0</v>
      </c>
      <c r="K193">
        <f t="shared" ca="1" si="38"/>
        <v>0.24121451563962504</v>
      </c>
      <c r="L193">
        <f t="shared" ca="1" si="39"/>
        <v>0.24116164834262127</v>
      </c>
      <c r="M193">
        <f t="shared" ca="1" si="40"/>
        <v>0.24667330184424352</v>
      </c>
      <c r="N193">
        <f t="shared" ca="1" si="41"/>
        <v>0.27095053417351017</v>
      </c>
      <c r="O193">
        <f t="shared" ca="1" si="34"/>
        <v>1</v>
      </c>
      <c r="P193">
        <f t="shared" ca="1" si="42"/>
        <v>1.4750443085015223E-2</v>
      </c>
      <c r="Q193">
        <f t="shared" ca="1" si="43"/>
        <v>2.4736973947895719E-2</v>
      </c>
      <c r="R193">
        <f t="shared" ca="1" si="44"/>
        <v>2.0148540333847935E-2</v>
      </c>
      <c r="S193">
        <f t="shared" ca="1" si="45"/>
        <v>3.4909281800583961E-2</v>
      </c>
      <c r="T193">
        <f t="shared" ca="1" si="46"/>
        <v>2.3897225883961225E-2</v>
      </c>
      <c r="U193">
        <f t="shared" ca="1" si="47"/>
        <v>1700.0126133579947</v>
      </c>
      <c r="V193">
        <f t="shared" ca="1" si="48"/>
        <v>3.0807026590462527E-3</v>
      </c>
      <c r="W193" t="b">
        <f t="shared" ca="1" si="35"/>
        <v>1</v>
      </c>
      <c r="X193" t="b">
        <f t="shared" ca="1" si="36"/>
        <v>1</v>
      </c>
      <c r="Y193" t="b">
        <f t="shared" ca="1" si="37"/>
        <v>1</v>
      </c>
    </row>
    <row r="194" spans="1:25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33"/>
        <v>0</v>
      </c>
      <c r="K194">
        <f t="shared" ca="1" si="38"/>
        <v>0.2413677400371346</v>
      </c>
      <c r="L194">
        <f t="shared" ca="1" si="39"/>
        <v>0.24116440696853142</v>
      </c>
      <c r="M194">
        <f t="shared" ca="1" si="40"/>
        <v>0.24611998217502651</v>
      </c>
      <c r="N194">
        <f t="shared" ca="1" si="41"/>
        <v>0.27134787081930756</v>
      </c>
      <c r="O194">
        <f t="shared" ca="1" si="34"/>
        <v>1</v>
      </c>
      <c r="P194">
        <f t="shared" ca="1" si="42"/>
        <v>8.4511803481886298E-3</v>
      </c>
      <c r="Q194">
        <f t="shared" ca="1" si="43"/>
        <v>7.822526431583458E-3</v>
      </c>
      <c r="R194">
        <f t="shared" ca="1" si="44"/>
        <v>5.5503495999424078E-3</v>
      </c>
      <c r="S194">
        <f t="shared" ca="1" si="45"/>
        <v>9.2889072060362253E-3</v>
      </c>
      <c r="T194">
        <f t="shared" ca="1" si="46"/>
        <v>7.8109981742871797E-3</v>
      </c>
      <c r="U194">
        <f t="shared" ca="1" si="47"/>
        <v>1713.291408777199</v>
      </c>
      <c r="V194">
        <f t="shared" ca="1" si="48"/>
        <v>5.5331966921705333E-4</v>
      </c>
      <c r="W194" t="b">
        <f t="shared" ca="1" si="35"/>
        <v>1</v>
      </c>
      <c r="X194" t="b">
        <f t="shared" ca="1" si="36"/>
        <v>1</v>
      </c>
      <c r="Y194" t="b">
        <f t="shared" ca="1" si="37"/>
        <v>1</v>
      </c>
    </row>
    <row r="195" spans="1:25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49">IF(MONTH(A196)&lt;&gt;MONTH(A195), 1, 0)</f>
        <v>0</v>
      </c>
      <c r="K195">
        <f t="shared" ca="1" si="38"/>
        <v>0.24041869228991666</v>
      </c>
      <c r="L195">
        <f t="shared" ca="1" si="39"/>
        <v>0.23997909808953186</v>
      </c>
      <c r="M195">
        <f t="shared" ca="1" si="40"/>
        <v>0.24544781574924723</v>
      </c>
      <c r="N195">
        <f t="shared" ca="1" si="41"/>
        <v>0.2741543938713043</v>
      </c>
      <c r="O195">
        <f t="shared" ref="O195:O244" ca="1" si="50">SUM(K195:N195)</f>
        <v>1</v>
      </c>
      <c r="P195">
        <f t="shared" ca="1" si="42"/>
        <v>-3.3521425777977691E-3</v>
      </c>
      <c r="Q195">
        <f t="shared" ca="1" si="43"/>
        <v>-4.3356982596568037E-3</v>
      </c>
      <c r="R195">
        <f t="shared" ca="1" si="44"/>
        <v>-2.1505376344086837E-3</v>
      </c>
      <c r="S195">
        <f t="shared" ca="1" si="45"/>
        <v>1.0931021485111074E-2</v>
      </c>
      <c r="T195">
        <f t="shared" ca="1" si="46"/>
        <v>5.8210394374767684E-4</v>
      </c>
      <c r="U195">
        <f t="shared" ca="1" si="47"/>
        <v>1714.2887224630372</v>
      </c>
      <c r="V195">
        <f t="shared" ca="1" si="48"/>
        <v>2.8065230519967593E-3</v>
      </c>
      <c r="W195" t="b">
        <f t="shared" ref="W195:W244" ca="1" si="51">MIN(K195:N195)&gt;=0</f>
        <v>1</v>
      </c>
      <c r="X195" t="b">
        <f t="shared" ref="X195:X244" ca="1" si="52">U195&gt;0</f>
        <v>1</v>
      </c>
      <c r="Y195" t="b">
        <f t="shared" ref="Y195:Y244" ca="1" si="53">V195&lt;=1</f>
        <v>1</v>
      </c>
    </row>
    <row r="196" spans="1:25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49"/>
        <v>0</v>
      </c>
      <c r="K196">
        <f t="shared" ref="K196:K244" ca="1" si="54">IF(J196=1, 1/4, K195*(B196/B195) / (K195*(B196/B195)+L195*(C196/C195)+M195*(D196/D195)+N195*(E196/E195)))</f>
        <v>0.23889148416980546</v>
      </c>
      <c r="L196">
        <f t="shared" ref="L196:L244" ca="1" si="55">IF(J196=1, 1/4, L195*(C196/C195) / (K195*(B196/B195)+L195*(C196/C195)+M195*(D196/D195)+N195*(E196/E195)))</f>
        <v>0.23948807569572766</v>
      </c>
      <c r="M196">
        <f t="shared" ref="M196:M244" ca="1" si="56">IF(J196=1, 1/4, M195*(D196/D195) / (K195*(B196/B195)+L195*(C196/C195)+M195*(D196/D195)+N195*(E196/E195)))</f>
        <v>0.24632190960593819</v>
      </c>
      <c r="N196">
        <f t="shared" ref="N196:N244" ca="1" si="57">IF(I196=1, 1/4, N195*(E196/E195) / (K195*(B196/B195)+L195*(C196/C195)+M195*(D196/D195)+N195*(E196/E195)))</f>
        <v>0.27529853052852871</v>
      </c>
      <c r="O196">
        <f t="shared" ca="1" si="50"/>
        <v>1</v>
      </c>
      <c r="P196">
        <f t="shared" ref="P196:P244" ca="1" si="58">(B196-B195)/B195</f>
        <v>7.9040304949830435E-3</v>
      </c>
      <c r="Q196">
        <f t="shared" ref="Q196:Q244" ca="1" si="59">(C196-C195)/C195</f>
        <v>1.2271993666067876E-2</v>
      </c>
      <c r="R196">
        <f t="shared" ref="R196:R244" ca="1" si="60">(D196-D195)/D195</f>
        <v>1.7959770114942531E-2</v>
      </c>
      <c r="S196">
        <f t="shared" ref="S196:S244" ca="1" si="61">(E196-E195)/E195</f>
        <v>1.8580661198110922E-2</v>
      </c>
      <c r="T196">
        <f t="shared" ref="T196:T244" ca="1" si="62">SUMPRODUCT(K195:N195,P196:S196)</f>
        <v>1.4347454901734277E-2</v>
      </c>
      <c r="U196">
        <f t="shared" ref="U196:U244" ca="1" si="63">U195*(1+T196)</f>
        <v>1738.8844025971271</v>
      </c>
      <c r="V196">
        <f t="shared" ref="V196:V244" ca="1" si="64">IF(O196,SUM(ABS(K196-K195),ABS(L196-L195), ABS(M196-M195),ABS(N196-N195))/2,0)</f>
        <v>2.0182305139153783E-3</v>
      </c>
      <c r="W196" t="b">
        <f t="shared" ca="1" si="51"/>
        <v>1</v>
      </c>
      <c r="X196" t="b">
        <f t="shared" ca="1" si="52"/>
        <v>1</v>
      </c>
      <c r="Y196" t="b">
        <f t="shared" ca="1" si="53"/>
        <v>1</v>
      </c>
    </row>
    <row r="197" spans="1:25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49"/>
        <v>0</v>
      </c>
      <c r="K197">
        <f t="shared" ca="1" si="54"/>
        <v>0.24136127013209033</v>
      </c>
      <c r="L197">
        <f t="shared" ca="1" si="55"/>
        <v>0.23983305450832249</v>
      </c>
      <c r="M197">
        <f t="shared" ca="1" si="56"/>
        <v>0.24515136922351072</v>
      </c>
      <c r="N197">
        <f t="shared" ca="1" si="57"/>
        <v>0.27365430613607655</v>
      </c>
      <c r="O197">
        <f t="shared" ca="1" si="50"/>
        <v>1</v>
      </c>
      <c r="P197">
        <f t="shared" ca="1" si="58"/>
        <v>5.0611790878753978E-3</v>
      </c>
      <c r="Q197">
        <f t="shared" ca="1" si="59"/>
        <v>-3.7903856566993289E-3</v>
      </c>
      <c r="R197">
        <f t="shared" ca="1" si="60"/>
        <v>-9.9505998588567159E-3</v>
      </c>
      <c r="S197">
        <f t="shared" ca="1" si="61"/>
        <v>-1.1164663534866599E-2</v>
      </c>
      <c r="T197">
        <f t="shared" ca="1" si="62"/>
        <v>-5.2233458070682619E-3</v>
      </c>
      <c r="U197">
        <f t="shared" ca="1" si="63"/>
        <v>1729.8016080438449</v>
      </c>
      <c r="V197">
        <f t="shared" ca="1" si="64"/>
        <v>2.8147647748796578E-3</v>
      </c>
      <c r="W197" t="b">
        <f t="shared" ca="1" si="51"/>
        <v>1</v>
      </c>
      <c r="X197" t="b">
        <f t="shared" ca="1" si="52"/>
        <v>1</v>
      </c>
      <c r="Y197" t="b">
        <f t="shared" ca="1" si="53"/>
        <v>1</v>
      </c>
    </row>
    <row r="198" spans="1:25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49"/>
        <v>0</v>
      </c>
      <c r="K198">
        <f t="shared" ca="1" si="54"/>
        <v>0.24274910168195155</v>
      </c>
      <c r="L198">
        <f t="shared" ca="1" si="55"/>
        <v>0.24119630645181522</v>
      </c>
      <c r="M198">
        <f t="shared" ca="1" si="56"/>
        <v>0.24608857715157001</v>
      </c>
      <c r="N198">
        <f t="shared" ca="1" si="57"/>
        <v>0.26996601471466314</v>
      </c>
      <c r="O198">
        <f t="shared" ca="1" si="50"/>
        <v>1</v>
      </c>
      <c r="P198">
        <f t="shared" ca="1" si="58"/>
        <v>-1.0292734215040749E-2</v>
      </c>
      <c r="Q198">
        <f t="shared" ca="1" si="59"/>
        <v>-1.0357531102790212E-2</v>
      </c>
      <c r="R198">
        <f t="shared" ca="1" si="60"/>
        <v>-1.2189036994796348E-2</v>
      </c>
      <c r="S198">
        <f t="shared" ca="1" si="61"/>
        <v>-2.9213968410661484E-2</v>
      </c>
      <c r="T198">
        <f t="shared" ca="1" si="62"/>
        <v>-1.5951033088512569E-2</v>
      </c>
      <c r="U198">
        <f t="shared" ca="1" si="63"/>
        <v>1702.2094853573753</v>
      </c>
      <c r="V198">
        <f t="shared" ca="1" si="64"/>
        <v>3.6882914214133311E-3</v>
      </c>
      <c r="W198" t="b">
        <f t="shared" ca="1" si="51"/>
        <v>1</v>
      </c>
      <c r="X198" t="b">
        <f t="shared" ca="1" si="52"/>
        <v>1</v>
      </c>
      <c r="Y198" t="b">
        <f t="shared" ca="1" si="53"/>
        <v>1</v>
      </c>
    </row>
    <row r="199" spans="1:25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49"/>
        <v>0</v>
      </c>
      <c r="K199">
        <f t="shared" ca="1" si="54"/>
        <v>0.23960851313006751</v>
      </c>
      <c r="L199">
        <f t="shared" ca="1" si="55"/>
        <v>0.24181839171659933</v>
      </c>
      <c r="M199">
        <f t="shared" ca="1" si="56"/>
        <v>0.2464317789910094</v>
      </c>
      <c r="N199">
        <f t="shared" ca="1" si="57"/>
        <v>0.27214131616232368</v>
      </c>
      <c r="O199">
        <f t="shared" ca="1" si="50"/>
        <v>1</v>
      </c>
      <c r="P199">
        <f t="shared" ca="1" si="58"/>
        <v>-7.2686608890128851E-4</v>
      </c>
      <c r="Q199">
        <f t="shared" ca="1" si="59"/>
        <v>1.4981844811277479E-2</v>
      </c>
      <c r="R199">
        <f t="shared" ca="1" si="60"/>
        <v>1.3782652619425576E-2</v>
      </c>
      <c r="S199">
        <f t="shared" ca="1" si="61"/>
        <v>2.0528138803266642E-2</v>
      </c>
      <c r="T199">
        <f t="shared" ca="1" si="62"/>
        <v>1.2370772736906687E-2</v>
      </c>
      <c r="U199">
        <f t="shared" ca="1" si="63"/>
        <v>1723.2671320513382</v>
      </c>
      <c r="V199">
        <f t="shared" ca="1" si="64"/>
        <v>3.1405885518840382E-3</v>
      </c>
      <c r="W199" t="b">
        <f t="shared" ca="1" si="51"/>
        <v>1</v>
      </c>
      <c r="X199" t="b">
        <f t="shared" ca="1" si="52"/>
        <v>1</v>
      </c>
      <c r="Y199" t="b">
        <f t="shared" ca="1" si="53"/>
        <v>1</v>
      </c>
    </row>
    <row r="200" spans="1:25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49"/>
        <v>0</v>
      </c>
      <c r="K200">
        <f t="shared" ca="1" si="54"/>
        <v>0.2373219337553186</v>
      </c>
      <c r="L200">
        <f t="shared" ca="1" si="55"/>
        <v>0.24121207983044757</v>
      </c>
      <c r="M200">
        <f t="shared" ca="1" si="56"/>
        <v>0.24711962916979577</v>
      </c>
      <c r="N200">
        <f t="shared" ca="1" si="57"/>
        <v>0.27434635724443801</v>
      </c>
      <c r="O200">
        <f t="shared" ca="1" si="50"/>
        <v>1</v>
      </c>
      <c r="P200">
        <f t="shared" ca="1" si="58"/>
        <v>-8.7846911369739988E-3</v>
      </c>
      <c r="Q200">
        <f t="shared" ca="1" si="59"/>
        <v>-1.7436267436266959E-3</v>
      </c>
      <c r="R200">
        <f t="shared" ca="1" si="60"/>
        <v>3.5589721688376393E-3</v>
      </c>
      <c r="S200">
        <f t="shared" ca="1" si="61"/>
        <v>8.8743577767399131E-3</v>
      </c>
      <c r="T200">
        <f t="shared" ca="1" si="62"/>
        <v>7.6559545186842201E-4</v>
      </c>
      <c r="U200">
        <f t="shared" ca="1" si="63"/>
        <v>1724.5864575299909</v>
      </c>
      <c r="V200">
        <f t="shared" ca="1" si="64"/>
        <v>2.8928912609006846E-3</v>
      </c>
      <c r="W200" t="b">
        <f t="shared" ca="1" si="51"/>
        <v>1</v>
      </c>
      <c r="X200" t="b">
        <f t="shared" ca="1" si="52"/>
        <v>1</v>
      </c>
      <c r="Y200" t="b">
        <f t="shared" ca="1" si="53"/>
        <v>1</v>
      </c>
    </row>
    <row r="201" spans="1:25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49"/>
        <v>0</v>
      </c>
      <c r="K201">
        <f t="shared" ca="1" si="54"/>
        <v>0.23845738373530506</v>
      </c>
      <c r="L201">
        <f t="shared" ca="1" si="55"/>
        <v>0.24273787645123562</v>
      </c>
      <c r="M201">
        <f t="shared" ca="1" si="56"/>
        <v>0.24711782282897643</v>
      </c>
      <c r="N201">
        <f t="shared" ca="1" si="57"/>
        <v>0.27168691698448294</v>
      </c>
      <c r="O201">
        <f t="shared" ca="1" si="50"/>
        <v>1</v>
      </c>
      <c r="P201">
        <f t="shared" ca="1" si="58"/>
        <v>-7.3948631103584661E-3</v>
      </c>
      <c r="Q201">
        <f t="shared" ca="1" si="59"/>
        <v>-5.8724326928867934E-3</v>
      </c>
      <c r="R201">
        <f t="shared" ca="1" si="60"/>
        <v>-1.212851975317404E-2</v>
      </c>
      <c r="S201">
        <f t="shared" ca="1" si="61"/>
        <v>-2.1697530864197446E-2</v>
      </c>
      <c r="T201">
        <f t="shared" ca="1" si="62"/>
        <v>-1.2121298774295923E-2</v>
      </c>
      <c r="U201">
        <f t="shared" ca="1" si="63"/>
        <v>1703.6822298161653</v>
      </c>
      <c r="V201">
        <f t="shared" ca="1" si="64"/>
        <v>2.661246600774464E-3</v>
      </c>
      <c r="W201" t="b">
        <f t="shared" ca="1" si="51"/>
        <v>1</v>
      </c>
      <c r="X201" t="b">
        <f t="shared" ca="1" si="52"/>
        <v>1</v>
      </c>
      <c r="Y201" t="b">
        <f t="shared" ca="1" si="53"/>
        <v>1</v>
      </c>
    </row>
    <row r="202" spans="1:25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49"/>
        <v>0</v>
      </c>
      <c r="K202">
        <f t="shared" ca="1" si="54"/>
        <v>0.23883136354816087</v>
      </c>
      <c r="L202">
        <f t="shared" ca="1" si="55"/>
        <v>0.24453816775071993</v>
      </c>
      <c r="M202">
        <f t="shared" ca="1" si="56"/>
        <v>0.24750715136535956</v>
      </c>
      <c r="N202">
        <f t="shared" ca="1" si="57"/>
        <v>0.26912331733575962</v>
      </c>
      <c r="O202">
        <f t="shared" ca="1" si="50"/>
        <v>1</v>
      </c>
      <c r="P202">
        <f t="shared" ca="1" si="58"/>
        <v>-2.1610555050045237E-3</v>
      </c>
      <c r="Q202">
        <f t="shared" ca="1" si="59"/>
        <v>3.6654448517160327E-3</v>
      </c>
      <c r="R202">
        <f t="shared" ca="1" si="60"/>
        <v>-2.1539345203906617E-3</v>
      </c>
      <c r="S202">
        <f t="shared" ca="1" si="61"/>
        <v>-1.3124270435687998E-2</v>
      </c>
      <c r="T202">
        <f t="shared" ca="1" si="62"/>
        <v>-3.7235455238132779E-3</v>
      </c>
      <c r="U202">
        <f t="shared" ca="1" si="63"/>
        <v>1697.3384914753331</v>
      </c>
      <c r="V202">
        <f t="shared" ca="1" si="64"/>
        <v>2.5635996487232832E-3</v>
      </c>
      <c r="W202" t="b">
        <f t="shared" ca="1" si="51"/>
        <v>1</v>
      </c>
      <c r="X202" t="b">
        <f t="shared" ca="1" si="52"/>
        <v>1</v>
      </c>
      <c r="Y202" t="b">
        <f t="shared" ca="1" si="53"/>
        <v>1</v>
      </c>
    </row>
    <row r="203" spans="1:25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49"/>
        <v>0</v>
      </c>
      <c r="K203">
        <f t="shared" ca="1" si="54"/>
        <v>0.23878479730770499</v>
      </c>
      <c r="L203">
        <f t="shared" ca="1" si="55"/>
        <v>0.24465660214175236</v>
      </c>
      <c r="M203">
        <f t="shared" ca="1" si="56"/>
        <v>0.24710396047490391</v>
      </c>
      <c r="N203">
        <f t="shared" ca="1" si="57"/>
        <v>0.26945464007563874</v>
      </c>
      <c r="O203">
        <f t="shared" ca="1" si="50"/>
        <v>1</v>
      </c>
      <c r="P203">
        <f t="shared" ca="1" si="58"/>
        <v>-1.4704206086857474E-2</v>
      </c>
      <c r="Q203">
        <f t="shared" ca="1" si="59"/>
        <v>-1.403477001086556E-2</v>
      </c>
      <c r="R203">
        <f t="shared" ca="1" si="60"/>
        <v>-1.6117426967908913E-2</v>
      </c>
      <c r="S203">
        <f t="shared" ca="1" si="61"/>
        <v>-1.3298807582877865E-2</v>
      </c>
      <c r="T203">
        <f t="shared" ca="1" si="62"/>
        <v>-1.4512060182357558E-2</v>
      </c>
      <c r="U203">
        <f t="shared" ca="1" si="63"/>
        <v>1672.7066131372112</v>
      </c>
      <c r="V203">
        <f t="shared" ca="1" si="64"/>
        <v>4.4975713091154057E-4</v>
      </c>
      <c r="W203" t="b">
        <f t="shared" ca="1" si="51"/>
        <v>1</v>
      </c>
      <c r="X203" t="b">
        <f t="shared" ca="1" si="52"/>
        <v>1</v>
      </c>
      <c r="Y203" t="b">
        <f t="shared" ca="1" si="53"/>
        <v>1</v>
      </c>
    </row>
    <row r="204" spans="1:25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49"/>
        <v>0</v>
      </c>
      <c r="K204">
        <f t="shared" ca="1" si="54"/>
        <v>0.23683653549608899</v>
      </c>
      <c r="L204">
        <f t="shared" ca="1" si="55"/>
        <v>0.24445924781988809</v>
      </c>
      <c r="M204">
        <f t="shared" ca="1" si="56"/>
        <v>0.24699551871219022</v>
      </c>
      <c r="N204">
        <f t="shared" ca="1" si="57"/>
        <v>0.27170869797183267</v>
      </c>
      <c r="O204">
        <f t="shared" ca="1" si="50"/>
        <v>1</v>
      </c>
      <c r="P204">
        <f t="shared" ca="1" si="58"/>
        <v>6.9412309116152564E-4</v>
      </c>
      <c r="Q204">
        <f t="shared" ca="1" si="59"/>
        <v>8.1121621207946165E-3</v>
      </c>
      <c r="R204">
        <f t="shared" ca="1" si="60"/>
        <v>8.4832528886938461E-3</v>
      </c>
      <c r="S204">
        <f t="shared" ca="1" si="61"/>
        <v>1.7365948485339427E-2</v>
      </c>
      <c r="T204">
        <f t="shared" ca="1" si="62"/>
        <v>8.9260208473218826E-3</v>
      </c>
      <c r="U204">
        <f t="shared" ca="1" si="63"/>
        <v>1687.637227237527</v>
      </c>
      <c r="V204">
        <f t="shared" ca="1" si="64"/>
        <v>2.2540578961939423E-3</v>
      </c>
      <c r="W204" t="b">
        <f t="shared" ca="1" si="51"/>
        <v>1</v>
      </c>
      <c r="X204" t="b">
        <f t="shared" ca="1" si="52"/>
        <v>1</v>
      </c>
      <c r="Y204" t="b">
        <f t="shared" ca="1" si="53"/>
        <v>1</v>
      </c>
    </row>
    <row r="205" spans="1:25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49"/>
        <v>0</v>
      </c>
      <c r="K205">
        <f t="shared" ca="1" si="54"/>
        <v>0.23644263638802865</v>
      </c>
      <c r="L205">
        <f t="shared" ca="1" si="55"/>
        <v>0.24432796624111874</v>
      </c>
      <c r="M205">
        <f t="shared" ca="1" si="56"/>
        <v>0.2499187662586583</v>
      </c>
      <c r="N205">
        <f t="shared" ca="1" si="57"/>
        <v>0.26931063111219433</v>
      </c>
      <c r="O205">
        <f t="shared" ca="1" si="50"/>
        <v>1</v>
      </c>
      <c r="P205">
        <f t="shared" ca="1" si="58"/>
        <v>2.5433526011560564E-3</v>
      </c>
      <c r="Q205">
        <f t="shared" ca="1" si="59"/>
        <v>3.6742378233935976E-3</v>
      </c>
      <c r="R205">
        <f t="shared" ca="1" si="60"/>
        <v>1.609862218999274E-2</v>
      </c>
      <c r="S205">
        <f t="shared" ca="1" si="61"/>
        <v>-4.6495334543485223E-3</v>
      </c>
      <c r="T205">
        <f t="shared" ca="1" si="62"/>
        <v>4.2135290905322663E-3</v>
      </c>
      <c r="U205">
        <f t="shared" ca="1" si="63"/>
        <v>1694.7481357887575</v>
      </c>
      <c r="V205">
        <f t="shared" ca="1" si="64"/>
        <v>2.9232475464680552E-3</v>
      </c>
      <c r="W205" t="b">
        <f t="shared" ca="1" si="51"/>
        <v>1</v>
      </c>
      <c r="X205" t="b">
        <f t="shared" ca="1" si="52"/>
        <v>1</v>
      </c>
      <c r="Y205" t="b">
        <f t="shared" ca="1" si="53"/>
        <v>1</v>
      </c>
    </row>
    <row r="206" spans="1:25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49"/>
        <v>0</v>
      </c>
      <c r="K206">
        <f t="shared" ca="1" si="54"/>
        <v>0.24069063166252674</v>
      </c>
      <c r="L206">
        <f t="shared" ca="1" si="55"/>
        <v>0.25985365851349762</v>
      </c>
      <c r="M206">
        <f t="shared" ca="1" si="56"/>
        <v>0.23313375512406417</v>
      </c>
      <c r="N206">
        <f t="shared" ca="1" si="57"/>
        <v>0.26632195469991155</v>
      </c>
      <c r="O206">
        <f t="shared" ca="1" si="50"/>
        <v>1.0000000000000002</v>
      </c>
      <c r="P206">
        <f t="shared" ca="1" si="58"/>
        <v>-1.349169741697419E-2</v>
      </c>
      <c r="Q206">
        <f t="shared" ca="1" si="59"/>
        <v>3.0678001996793162E-2</v>
      </c>
      <c r="R206">
        <f t="shared" ca="1" si="60"/>
        <v>-9.5989152155295479E-2</v>
      </c>
      <c r="S206">
        <f t="shared" ca="1" si="61"/>
        <v>-4.1657334826427896E-2</v>
      </c>
      <c r="T206">
        <f t="shared" ca="1" si="62"/>
        <v>-3.0902772283824848E-2</v>
      </c>
      <c r="U206">
        <f t="shared" ca="1" si="63"/>
        <v>1642.3757200700409</v>
      </c>
      <c r="V206">
        <f t="shared" ca="1" si="64"/>
        <v>1.9773687546876945E-2</v>
      </c>
      <c r="W206" t="b">
        <f t="shared" ca="1" si="51"/>
        <v>1</v>
      </c>
      <c r="X206" t="b">
        <f t="shared" ca="1" si="52"/>
        <v>1</v>
      </c>
      <c r="Y206" t="b">
        <f t="shared" ca="1" si="53"/>
        <v>1</v>
      </c>
    </row>
    <row r="207" spans="1:25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49"/>
        <v>0</v>
      </c>
      <c r="K207">
        <f t="shared" ca="1" si="54"/>
        <v>0.24241801463801296</v>
      </c>
      <c r="L207">
        <f t="shared" ca="1" si="55"/>
        <v>0.2582548672219353</v>
      </c>
      <c r="M207">
        <f t="shared" ca="1" si="56"/>
        <v>0.23459173098901878</v>
      </c>
      <c r="N207">
        <f t="shared" ca="1" si="57"/>
        <v>0.26473538715103306</v>
      </c>
      <c r="O207">
        <f t="shared" ca="1" si="50"/>
        <v>1</v>
      </c>
      <c r="P207">
        <f t="shared" ca="1" si="58"/>
        <v>-2.4605493863237921E-2</v>
      </c>
      <c r="Q207">
        <f t="shared" ca="1" si="59"/>
        <v>-3.7514310036105405E-2</v>
      </c>
      <c r="R207">
        <f t="shared" ca="1" si="60"/>
        <v>-2.5499328965027268E-2</v>
      </c>
      <c r="S207">
        <f t="shared" ca="1" si="61"/>
        <v>-3.7325142723600144E-2</v>
      </c>
      <c r="T207">
        <f t="shared" ca="1" si="62"/>
        <v>-3.155580185416576E-2</v>
      </c>
      <c r="U207">
        <f t="shared" ca="1" si="63"/>
        <v>1590.5492372774179</v>
      </c>
      <c r="V207">
        <f t="shared" ca="1" si="64"/>
        <v>3.1853588404408134E-3</v>
      </c>
      <c r="W207" t="b">
        <f t="shared" ca="1" si="51"/>
        <v>1</v>
      </c>
      <c r="X207" t="b">
        <f t="shared" ca="1" si="52"/>
        <v>1</v>
      </c>
      <c r="Y207" t="b">
        <f t="shared" ca="1" si="53"/>
        <v>1</v>
      </c>
    </row>
    <row r="208" spans="1:25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49"/>
        <v>0</v>
      </c>
      <c r="K208">
        <f t="shared" ca="1" si="54"/>
        <v>0.2416765329785717</v>
      </c>
      <c r="L208">
        <f t="shared" ca="1" si="55"/>
        <v>0.25692504482952533</v>
      </c>
      <c r="M208">
        <f t="shared" ca="1" si="56"/>
        <v>0.23194991858227226</v>
      </c>
      <c r="N208">
        <f t="shared" ca="1" si="57"/>
        <v>0.26944850360963069</v>
      </c>
      <c r="O208">
        <f t="shared" ca="1" si="50"/>
        <v>0.99999999999999989</v>
      </c>
      <c r="P208">
        <f t="shared" ca="1" si="58"/>
        <v>7.9693211097130595E-3</v>
      </c>
      <c r="Q208">
        <f t="shared" ca="1" si="59"/>
        <v>5.8556223123609015E-3</v>
      </c>
      <c r="R208">
        <f t="shared" ca="1" si="60"/>
        <v>-3.2404406999345467E-4</v>
      </c>
      <c r="S208">
        <f t="shared" ca="1" si="61"/>
        <v>2.9061903936188641E-2</v>
      </c>
      <c r="T208">
        <f t="shared" ca="1" si="62"/>
        <v>1.1061846294806554E-2</v>
      </c>
      <c r="U208">
        <f t="shared" ca="1" si="63"/>
        <v>1608.1436484645023</v>
      </c>
      <c r="V208">
        <f t="shared" ca="1" si="64"/>
        <v>4.7131164585976909E-3</v>
      </c>
      <c r="W208" t="b">
        <f t="shared" ca="1" si="51"/>
        <v>1</v>
      </c>
      <c r="X208" t="b">
        <f t="shared" ca="1" si="52"/>
        <v>1</v>
      </c>
      <c r="Y208" t="b">
        <f t="shared" ca="1" si="53"/>
        <v>1</v>
      </c>
    </row>
    <row r="209" spans="1:25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49"/>
        <v>0</v>
      </c>
      <c r="K209">
        <f t="shared" ca="1" si="54"/>
        <v>0.24017867993441769</v>
      </c>
      <c r="L209">
        <f t="shared" ca="1" si="55"/>
        <v>0.25796470696121049</v>
      </c>
      <c r="M209">
        <f t="shared" ca="1" si="56"/>
        <v>0.23204676225111548</v>
      </c>
      <c r="N209">
        <f t="shared" ca="1" si="57"/>
        <v>0.26980985085325643</v>
      </c>
      <c r="O209">
        <f t="shared" ca="1" si="50"/>
        <v>1.0000000000000002</v>
      </c>
      <c r="P209">
        <f t="shared" ca="1" si="58"/>
        <v>1.2305314469147505E-2</v>
      </c>
      <c r="Q209">
        <f t="shared" ca="1" si="59"/>
        <v>2.2740365665079896E-2</v>
      </c>
      <c r="R209">
        <f t="shared" ca="1" si="60"/>
        <v>1.9043760129659595E-2</v>
      </c>
      <c r="S209">
        <f t="shared" ca="1" si="61"/>
        <v>1.9984497691504084E-2</v>
      </c>
      <c r="T209">
        <f t="shared" ca="1" si="62"/>
        <v>1.8618466815995834E-2</v>
      </c>
      <c r="U209">
        <f t="shared" ca="1" si="63"/>
        <v>1638.0848176187933</v>
      </c>
      <c r="V209">
        <f t="shared" ca="1" si="64"/>
        <v>1.4978530441540627E-3</v>
      </c>
      <c r="W209" t="b">
        <f t="shared" ca="1" si="51"/>
        <v>1</v>
      </c>
      <c r="X209" t="b">
        <f t="shared" ca="1" si="52"/>
        <v>1</v>
      </c>
      <c r="Y209" t="b">
        <f t="shared" ca="1" si="53"/>
        <v>1</v>
      </c>
    </row>
    <row r="210" spans="1:25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49"/>
        <v>1</v>
      </c>
      <c r="K210">
        <f t="shared" ca="1" si="54"/>
        <v>0.25</v>
      </c>
      <c r="L210">
        <f t="shared" ca="1" si="55"/>
        <v>0.25</v>
      </c>
      <c r="M210">
        <f t="shared" ca="1" si="56"/>
        <v>0.25</v>
      </c>
      <c r="N210">
        <f t="shared" ca="1" si="57"/>
        <v>0.26878055717701255</v>
      </c>
      <c r="O210">
        <f t="shared" ca="1" si="50"/>
        <v>1.0187805571770125</v>
      </c>
      <c r="P210">
        <f t="shared" ca="1" si="58"/>
        <v>2.8187210053439321E-3</v>
      </c>
      <c r="Q210">
        <f t="shared" ca="1" si="59"/>
        <v>2.3717055527556589E-3</v>
      </c>
      <c r="R210">
        <f t="shared" ca="1" si="60"/>
        <v>-3.578528827037796E-3</v>
      </c>
      <c r="S210">
        <f t="shared" ca="1" si="61"/>
        <v>-4.5926121720744175E-3</v>
      </c>
      <c r="T210">
        <f t="shared" ca="1" si="62"/>
        <v>-7.8070501502884148E-4</v>
      </c>
      <c r="U210">
        <f t="shared" ca="1" si="63"/>
        <v>1636.8059565866358</v>
      </c>
      <c r="V210">
        <f t="shared" ca="1" si="64"/>
        <v>1.8384279225960601E-2</v>
      </c>
      <c r="W210" t="b">
        <f t="shared" ca="1" si="51"/>
        <v>1</v>
      </c>
      <c r="X210" t="b">
        <f t="shared" ca="1" si="52"/>
        <v>1</v>
      </c>
      <c r="Y210" t="b">
        <f t="shared" ca="1" si="53"/>
        <v>1</v>
      </c>
    </row>
    <row r="211" spans="1:25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49"/>
        <v>0</v>
      </c>
      <c r="K211">
        <f t="shared" ca="1" si="54"/>
        <v>0.24411004934732747</v>
      </c>
      <c r="L211">
        <f t="shared" ca="1" si="55"/>
        <v>0.24526117846411488</v>
      </c>
      <c r="M211">
        <f t="shared" ca="1" si="56"/>
        <v>0.24396097366857064</v>
      </c>
      <c r="N211">
        <f t="shared" ca="1" si="57"/>
        <v>0.2666677985199869</v>
      </c>
      <c r="O211">
        <f t="shared" ca="1" si="50"/>
        <v>0.99999999999999989</v>
      </c>
      <c r="P211">
        <f t="shared" ca="1" si="58"/>
        <v>1.873865433038583E-2</v>
      </c>
      <c r="Q211">
        <f t="shared" ca="1" si="59"/>
        <v>2.3542634054006032E-2</v>
      </c>
      <c r="R211">
        <f t="shared" ca="1" si="60"/>
        <v>1.8116520351157191E-2</v>
      </c>
      <c r="S211">
        <f t="shared" ca="1" si="61"/>
        <v>3.5118000464699574E-2</v>
      </c>
      <c r="T211">
        <f t="shared" ca="1" si="62"/>
        <v>2.4538487915731801E-2</v>
      </c>
      <c r="U211">
        <f t="shared" ca="1" si="63"/>
        <v>1676.9706997727349</v>
      </c>
      <c r="V211">
        <f t="shared" ca="1" si="64"/>
        <v>9.3902785885063289E-3</v>
      </c>
      <c r="W211" t="b">
        <f t="shared" ca="1" si="51"/>
        <v>1</v>
      </c>
      <c r="X211" t="b">
        <f t="shared" ca="1" si="52"/>
        <v>1</v>
      </c>
      <c r="Y211" t="b">
        <f t="shared" ca="1" si="53"/>
        <v>1</v>
      </c>
    </row>
    <row r="212" spans="1:25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49"/>
        <v>0</v>
      </c>
      <c r="K212">
        <f t="shared" ca="1" si="54"/>
        <v>0.24724790099635263</v>
      </c>
      <c r="L212">
        <f t="shared" ca="1" si="55"/>
        <v>0.24495989830473722</v>
      </c>
      <c r="M212">
        <f t="shared" ca="1" si="56"/>
        <v>0.24400400092899355</v>
      </c>
      <c r="N212">
        <f t="shared" ca="1" si="57"/>
        <v>0.26378819976991652</v>
      </c>
      <c r="O212">
        <f t="shared" ca="1" si="50"/>
        <v>0.99999999999999989</v>
      </c>
      <c r="P212">
        <f t="shared" ca="1" si="58"/>
        <v>2.0693222969477464E-2</v>
      </c>
      <c r="Q212">
        <f t="shared" ca="1" si="59"/>
        <v>6.5015748259022741E-3</v>
      </c>
      <c r="R212">
        <f t="shared" ca="1" si="60"/>
        <v>7.9172219173788468E-3</v>
      </c>
      <c r="S212">
        <f t="shared" ca="1" si="61"/>
        <v>-3.1425364758698674E-3</v>
      </c>
      <c r="T212">
        <f t="shared" ca="1" si="62"/>
        <v>7.7394874678327237E-3</v>
      </c>
      <c r="U212">
        <f t="shared" ca="1" si="63"/>
        <v>1689.9495934875486</v>
      </c>
      <c r="V212">
        <f t="shared" ca="1" si="64"/>
        <v>3.1808789094480566E-3</v>
      </c>
      <c r="W212" t="b">
        <f t="shared" ca="1" si="51"/>
        <v>1</v>
      </c>
      <c r="X212" t="b">
        <f t="shared" ca="1" si="52"/>
        <v>1</v>
      </c>
      <c r="Y212" t="b">
        <f t="shared" ca="1" si="53"/>
        <v>1</v>
      </c>
    </row>
    <row r="213" spans="1:25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49"/>
        <v>0</v>
      </c>
      <c r="K213">
        <f t="shared" ca="1" si="54"/>
        <v>0.24391035575320649</v>
      </c>
      <c r="L213">
        <f t="shared" ca="1" si="55"/>
        <v>0.2460360449129691</v>
      </c>
      <c r="M213">
        <f t="shared" ca="1" si="56"/>
        <v>0.24533232284155126</v>
      </c>
      <c r="N213">
        <f t="shared" ca="1" si="57"/>
        <v>0.26472127649227323</v>
      </c>
      <c r="O213">
        <f t="shared" ca="1" si="50"/>
        <v>1</v>
      </c>
      <c r="P213">
        <f t="shared" ca="1" si="58"/>
        <v>-5.1810553584501181E-3</v>
      </c>
      <c r="Q213">
        <f t="shared" ca="1" si="59"/>
        <v>1.2861736334405197E-2</v>
      </c>
      <c r="R213">
        <f t="shared" ca="1" si="60"/>
        <v>1.3921294135946428E-2</v>
      </c>
      <c r="S213">
        <f t="shared" ca="1" si="61"/>
        <v>1.1998584617364231E-2</v>
      </c>
      <c r="T213">
        <f t="shared" ca="1" si="62"/>
        <v>8.4315410654573313E-3</v>
      </c>
      <c r="U213">
        <f t="shared" ca="1" si="63"/>
        <v>1704.1984728835919</v>
      </c>
      <c r="V213">
        <f t="shared" ca="1" si="64"/>
        <v>3.3375452431462227E-3</v>
      </c>
      <c r="W213" t="b">
        <f t="shared" ca="1" si="51"/>
        <v>1</v>
      </c>
      <c r="X213" t="b">
        <f t="shared" ca="1" si="52"/>
        <v>1</v>
      </c>
      <c r="Y213" t="b">
        <f t="shared" ca="1" si="53"/>
        <v>1</v>
      </c>
    </row>
    <row r="214" spans="1:25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49"/>
        <v>0</v>
      </c>
      <c r="K214">
        <f t="shared" ca="1" si="54"/>
        <v>0.24521532851767761</v>
      </c>
      <c r="L214">
        <f t="shared" ca="1" si="55"/>
        <v>0.2463692785241608</v>
      </c>
      <c r="M214">
        <f t="shared" ca="1" si="56"/>
        <v>0.24510829428750314</v>
      </c>
      <c r="N214">
        <f t="shared" ca="1" si="57"/>
        <v>0.26330709867065843</v>
      </c>
      <c r="O214">
        <f t="shared" ca="1" si="50"/>
        <v>1</v>
      </c>
      <c r="P214">
        <f t="shared" ca="1" si="58"/>
        <v>1.460515142938004E-2</v>
      </c>
      <c r="Q214">
        <f t="shared" ca="1" si="59"/>
        <v>1.0572562358276534E-2</v>
      </c>
      <c r="R214">
        <f t="shared" ca="1" si="60"/>
        <v>8.2841144435068202E-3</v>
      </c>
      <c r="S214">
        <f t="shared" ca="1" si="61"/>
        <v>3.8143674507310505E-3</v>
      </c>
      <c r="T214">
        <f t="shared" ca="1" si="62"/>
        <v>9.2056843678745056E-3</v>
      </c>
      <c r="U214">
        <f t="shared" ca="1" si="63"/>
        <v>1719.886786125172</v>
      </c>
      <c r="V214">
        <f t="shared" ca="1" si="64"/>
        <v>1.6382063756628651E-3</v>
      </c>
      <c r="W214" t="b">
        <f t="shared" ca="1" si="51"/>
        <v>1</v>
      </c>
      <c r="X214" t="b">
        <f t="shared" ca="1" si="52"/>
        <v>1</v>
      </c>
      <c r="Y214" t="b">
        <f t="shared" ca="1" si="53"/>
        <v>1</v>
      </c>
    </row>
    <row r="215" spans="1:25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49"/>
        <v>0</v>
      </c>
      <c r="K215">
        <f t="shared" ca="1" si="54"/>
        <v>0.24615039720057058</v>
      </c>
      <c r="L215">
        <f t="shared" ca="1" si="55"/>
        <v>0.24652096479683175</v>
      </c>
      <c r="M215">
        <f t="shared" ca="1" si="56"/>
        <v>0.24429095090424485</v>
      </c>
      <c r="N215">
        <f t="shared" ca="1" si="57"/>
        <v>0.2630376870983529</v>
      </c>
      <c r="O215">
        <f t="shared" ca="1" si="50"/>
        <v>1</v>
      </c>
      <c r="P215">
        <f t="shared" ca="1" si="58"/>
        <v>1.4450705797020609E-2</v>
      </c>
      <c r="Q215">
        <f t="shared" ca="1" si="59"/>
        <v>1.1219252236838416E-2</v>
      </c>
      <c r="R215">
        <f t="shared" ca="1" si="60"/>
        <v>7.2270825408902025E-3</v>
      </c>
      <c r="S215">
        <f t="shared" ca="1" si="61"/>
        <v>9.5630145661810689E-3</v>
      </c>
      <c r="T215">
        <f t="shared" ca="1" si="62"/>
        <v>1.0597041142738149E-2</v>
      </c>
      <c r="U215">
        <f t="shared" ca="1" si="63"/>
        <v>1738.1124971585921</v>
      </c>
      <c r="V215">
        <f t="shared" ca="1" si="64"/>
        <v>1.0867549555638734E-3</v>
      </c>
      <c r="W215" t="b">
        <f t="shared" ca="1" si="51"/>
        <v>1</v>
      </c>
      <c r="X215" t="b">
        <f t="shared" ca="1" si="52"/>
        <v>1</v>
      </c>
      <c r="Y215" t="b">
        <f t="shared" ca="1" si="53"/>
        <v>1</v>
      </c>
    </row>
    <row r="216" spans="1:25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49"/>
        <v>0</v>
      </c>
      <c r="K216">
        <f t="shared" ca="1" si="54"/>
        <v>0.24620715045535793</v>
      </c>
      <c r="L216">
        <f t="shared" ca="1" si="55"/>
        <v>0.24695061063559839</v>
      </c>
      <c r="M216">
        <f t="shared" ca="1" si="56"/>
        <v>0.24449558329604554</v>
      </c>
      <c r="N216">
        <f t="shared" ca="1" si="57"/>
        <v>0.26234665561299803</v>
      </c>
      <c r="O216">
        <f t="shared" ca="1" si="50"/>
        <v>1</v>
      </c>
      <c r="P216">
        <f t="shared" ca="1" si="58"/>
        <v>5.8849411505884569E-3</v>
      </c>
      <c r="Q216">
        <f t="shared" ca="1" si="59"/>
        <v>7.4057637367209829E-3</v>
      </c>
      <c r="R216">
        <f t="shared" ca="1" si="60"/>
        <v>6.4954682779455077E-3</v>
      </c>
      <c r="S216">
        <f t="shared" ca="1" si="61"/>
        <v>3.0111034439494998E-3</v>
      </c>
      <c r="T216">
        <f t="shared" ca="1" si="62"/>
        <v>5.6530744308512055E-3</v>
      </c>
      <c r="U216">
        <f t="shared" ca="1" si="63"/>
        <v>1747.9381764742222</v>
      </c>
      <c r="V216">
        <f t="shared" ca="1" si="64"/>
        <v>6.9103148535477887E-4</v>
      </c>
      <c r="W216" t="b">
        <f t="shared" ca="1" si="51"/>
        <v>1</v>
      </c>
      <c r="X216" t="b">
        <f t="shared" ca="1" si="52"/>
        <v>1</v>
      </c>
      <c r="Y216" t="b">
        <f t="shared" ca="1" si="53"/>
        <v>1</v>
      </c>
    </row>
    <row r="217" spans="1:25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49"/>
        <v>0</v>
      </c>
      <c r="K217">
        <f t="shared" ca="1" si="54"/>
        <v>0.24669617386626497</v>
      </c>
      <c r="L217">
        <f t="shared" ca="1" si="55"/>
        <v>0.2463777217727815</v>
      </c>
      <c r="M217">
        <f t="shared" ca="1" si="56"/>
        <v>0.24273202308785105</v>
      </c>
      <c r="N217">
        <f t="shared" ca="1" si="57"/>
        <v>0.2641940812731024</v>
      </c>
      <c r="O217">
        <f t="shared" ca="1" si="50"/>
        <v>0.99999999999999989</v>
      </c>
      <c r="P217">
        <f t="shared" ca="1" si="58"/>
        <v>-2.6245284050521616E-3</v>
      </c>
      <c r="Q217">
        <f t="shared" ca="1" si="59"/>
        <v>-6.9107929515418252E-3</v>
      </c>
      <c r="R217">
        <f t="shared" ca="1" si="60"/>
        <v>-1.1781479813897593E-2</v>
      </c>
      <c r="S217">
        <f t="shared" ca="1" si="61"/>
        <v>2.4079054349866744E-3</v>
      </c>
      <c r="T217">
        <f t="shared" ca="1" si="62"/>
        <v>-4.6016160405448437E-3</v>
      </c>
      <c r="U217">
        <f t="shared" ca="1" si="63"/>
        <v>1739.8948361234777</v>
      </c>
      <c r="V217">
        <f t="shared" ca="1" si="64"/>
        <v>2.3364490710113955E-3</v>
      </c>
      <c r="W217" t="b">
        <f t="shared" ca="1" si="51"/>
        <v>1</v>
      </c>
      <c r="X217" t="b">
        <f t="shared" ca="1" si="52"/>
        <v>1</v>
      </c>
      <c r="Y217" t="b">
        <f t="shared" ca="1" si="53"/>
        <v>1</v>
      </c>
    </row>
    <row r="218" spans="1:25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49"/>
        <v>0</v>
      </c>
      <c r="K218">
        <f t="shared" ca="1" si="54"/>
        <v>0.2465032831252108</v>
      </c>
      <c r="L218">
        <f t="shared" ca="1" si="55"/>
        <v>0.24691334903563547</v>
      </c>
      <c r="M218">
        <f t="shared" ca="1" si="56"/>
        <v>0.24162202646201567</v>
      </c>
      <c r="N218">
        <f t="shared" ca="1" si="57"/>
        <v>0.264961341377138</v>
      </c>
      <c r="O218">
        <f t="shared" ca="1" si="50"/>
        <v>1</v>
      </c>
      <c r="P218">
        <f t="shared" ca="1" si="58"/>
        <v>2.1873800778466145E-2</v>
      </c>
      <c r="Q218">
        <f t="shared" ca="1" si="59"/>
        <v>2.4896725720147547E-2</v>
      </c>
      <c r="R218">
        <f t="shared" ca="1" si="60"/>
        <v>1.7996810691776177E-2</v>
      </c>
      <c r="S218">
        <f t="shared" ca="1" si="61"/>
        <v>2.5643425362657839E-2</v>
      </c>
      <c r="T218">
        <f t="shared" ca="1" si="62"/>
        <v>2.2673424995218953E-2</v>
      </c>
      <c r="U218">
        <f t="shared" ca="1" si="63"/>
        <v>1779.3442111898921</v>
      </c>
      <c r="V218">
        <f t="shared" ca="1" si="64"/>
        <v>1.302887366889563E-3</v>
      </c>
      <c r="W218" t="b">
        <f t="shared" ca="1" si="51"/>
        <v>1</v>
      </c>
      <c r="X218" t="b">
        <f t="shared" ca="1" si="52"/>
        <v>1</v>
      </c>
      <c r="Y218" t="b">
        <f t="shared" ca="1" si="53"/>
        <v>1</v>
      </c>
    </row>
    <row r="219" spans="1:25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49"/>
        <v>0</v>
      </c>
      <c r="K219">
        <f t="shared" ca="1" si="54"/>
        <v>0.2454998613404947</v>
      </c>
      <c r="L219">
        <f t="shared" ca="1" si="55"/>
        <v>0.24603113473577731</v>
      </c>
      <c r="M219">
        <f t="shared" ca="1" si="56"/>
        <v>0.24196149470508788</v>
      </c>
      <c r="N219">
        <f t="shared" ca="1" si="57"/>
        <v>0.26650750921864019</v>
      </c>
      <c r="O219">
        <f t="shared" ca="1" si="50"/>
        <v>1</v>
      </c>
      <c r="P219">
        <f t="shared" ca="1" si="58"/>
        <v>-8.5836909871244323E-3</v>
      </c>
      <c r="Q219">
        <f t="shared" ca="1" si="59"/>
        <v>-8.0882949657803144E-3</v>
      </c>
      <c r="R219">
        <f t="shared" ca="1" si="60"/>
        <v>-3.1329255557214376E-3</v>
      </c>
      <c r="S219">
        <f t="shared" ca="1" si="61"/>
        <v>1.2774888219728561E-3</v>
      </c>
      <c r="T219">
        <f t="shared" ca="1" si="62"/>
        <v>-4.5315146773111641E-3</v>
      </c>
      <c r="U219">
        <f t="shared" ca="1" si="63"/>
        <v>1771.2810867808964</v>
      </c>
      <c r="V219">
        <f t="shared" ca="1" si="64"/>
        <v>1.8856360845743297E-3</v>
      </c>
      <c r="W219" t="b">
        <f t="shared" ca="1" si="51"/>
        <v>1</v>
      </c>
      <c r="X219" t="b">
        <f t="shared" ca="1" si="52"/>
        <v>1</v>
      </c>
      <c r="Y219" t="b">
        <f t="shared" ca="1" si="53"/>
        <v>1</v>
      </c>
    </row>
    <row r="220" spans="1:25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49"/>
        <v>0</v>
      </c>
      <c r="K220">
        <f t="shared" ca="1" si="54"/>
        <v>0.24534617940361667</v>
      </c>
      <c r="L220">
        <f t="shared" ca="1" si="55"/>
        <v>0.24478742993354827</v>
      </c>
      <c r="M220">
        <f t="shared" ca="1" si="56"/>
        <v>0.24159748539043702</v>
      </c>
      <c r="N220">
        <f t="shared" ca="1" si="57"/>
        <v>0.26826890527239794</v>
      </c>
      <c r="O220">
        <f t="shared" ca="1" si="50"/>
        <v>0.99999999999999978</v>
      </c>
      <c r="P220">
        <f t="shared" ca="1" si="58"/>
        <v>1.4285714285714211E-2</v>
      </c>
      <c r="Q220">
        <f t="shared" ca="1" si="59"/>
        <v>9.790553070797358E-3</v>
      </c>
      <c r="R220">
        <f t="shared" ca="1" si="60"/>
        <v>1.3394193355283003E-2</v>
      </c>
      <c r="S220">
        <f t="shared" ca="1" si="61"/>
        <v>2.1628846562775309E-2</v>
      </c>
      <c r="T220">
        <f t="shared" ca="1" si="62"/>
        <v>1.4921050827322513E-2</v>
      </c>
      <c r="U220">
        <f t="shared" ca="1" si="63"/>
        <v>1797.7104619062293</v>
      </c>
      <c r="V220">
        <f t="shared" ca="1" si="64"/>
        <v>1.7613960537578438E-3</v>
      </c>
      <c r="W220" t="b">
        <f t="shared" ca="1" si="51"/>
        <v>1</v>
      </c>
      <c r="X220" t="b">
        <f t="shared" ca="1" si="52"/>
        <v>1</v>
      </c>
      <c r="Y220" t="b">
        <f t="shared" ca="1" si="53"/>
        <v>1</v>
      </c>
    </row>
    <row r="221" spans="1:25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49"/>
        <v>0</v>
      </c>
      <c r="K221">
        <f t="shared" ca="1" si="54"/>
        <v>0.24629608050350163</v>
      </c>
      <c r="L221">
        <f t="shared" ca="1" si="55"/>
        <v>0.24459316760654523</v>
      </c>
      <c r="M221">
        <f t="shared" ca="1" si="56"/>
        <v>0.24349370880982779</v>
      </c>
      <c r="N221">
        <f t="shared" ca="1" si="57"/>
        <v>0.26561704308012529</v>
      </c>
      <c r="O221">
        <f t="shared" ca="1" si="50"/>
        <v>1</v>
      </c>
      <c r="P221">
        <f t="shared" ca="1" si="58"/>
        <v>3.0409731113956104E-3</v>
      </c>
      <c r="Q221">
        <f t="shared" ca="1" si="59"/>
        <v>-1.6204391390065788E-3</v>
      </c>
      <c r="R221">
        <f t="shared" ca="1" si="60"/>
        <v>7.0146939378275758E-3</v>
      </c>
      <c r="S221">
        <f t="shared" ca="1" si="61"/>
        <v>-1.0704409622074938E-2</v>
      </c>
      <c r="T221">
        <f t="shared" ca="1" si="62"/>
        <v>-8.2749983238979228E-4</v>
      </c>
      <c r="U221">
        <f t="shared" ca="1" si="63"/>
        <v>1796.2228568003163</v>
      </c>
      <c r="V221">
        <f t="shared" ca="1" si="64"/>
        <v>2.8461245192757112E-3</v>
      </c>
      <c r="W221" t="b">
        <f t="shared" ca="1" si="51"/>
        <v>1</v>
      </c>
      <c r="X221" t="b">
        <f t="shared" ca="1" si="52"/>
        <v>1</v>
      </c>
      <c r="Y221" t="b">
        <f t="shared" ca="1" si="53"/>
        <v>1</v>
      </c>
    </row>
    <row r="222" spans="1:25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49"/>
        <v>0</v>
      </c>
      <c r="K222">
        <f t="shared" ca="1" si="54"/>
        <v>0.2456122434092628</v>
      </c>
      <c r="L222">
        <f t="shared" ca="1" si="55"/>
        <v>0.2459787032735318</v>
      </c>
      <c r="M222">
        <f t="shared" ca="1" si="56"/>
        <v>0.24473537946042448</v>
      </c>
      <c r="N222">
        <f t="shared" ca="1" si="57"/>
        <v>0.26367367385678092</v>
      </c>
      <c r="O222">
        <f t="shared" ca="1" si="50"/>
        <v>1</v>
      </c>
      <c r="P222">
        <f t="shared" ca="1" si="58"/>
        <v>9.042072230200612E-3</v>
      </c>
      <c r="Q222">
        <f t="shared" ca="1" si="59"/>
        <v>1.7583249925609327E-2</v>
      </c>
      <c r="R222">
        <f t="shared" ca="1" si="60"/>
        <v>1.701129197829589E-2</v>
      </c>
      <c r="S222">
        <f t="shared" ca="1" si="61"/>
        <v>4.4483183553245117E-3</v>
      </c>
      <c r="T222">
        <f t="shared" ca="1" si="62"/>
        <v>1.1851461489712783E-2</v>
      </c>
      <c r="U222">
        <f t="shared" ca="1" si="63"/>
        <v>1817.5107228146271</v>
      </c>
      <c r="V222">
        <f t="shared" ca="1" si="64"/>
        <v>2.6272063175832305E-3</v>
      </c>
      <c r="W222" t="b">
        <f t="shared" ca="1" si="51"/>
        <v>1</v>
      </c>
      <c r="X222" t="b">
        <f t="shared" ca="1" si="52"/>
        <v>1</v>
      </c>
      <c r="Y222" t="b">
        <f t="shared" ca="1" si="53"/>
        <v>1</v>
      </c>
    </row>
    <row r="223" spans="1:25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49"/>
        <v>0</v>
      </c>
      <c r="K223">
        <f t="shared" ca="1" si="54"/>
        <v>0.24721635282162038</v>
      </c>
      <c r="L223">
        <f t="shared" ca="1" si="55"/>
        <v>0.24345121380276039</v>
      </c>
      <c r="M223">
        <f t="shared" ca="1" si="56"/>
        <v>0.24323361218458839</v>
      </c>
      <c r="N223">
        <f t="shared" ca="1" si="57"/>
        <v>0.2660988211910309</v>
      </c>
      <c r="O223">
        <f t="shared" ca="1" si="50"/>
        <v>1</v>
      </c>
      <c r="P223">
        <f t="shared" ca="1" si="58"/>
        <v>-1.0542406831485019E-4</v>
      </c>
      <c r="Q223">
        <f t="shared" ca="1" si="59"/>
        <v>-1.6800914480155232E-2</v>
      </c>
      <c r="R223">
        <f t="shared" ca="1" si="60"/>
        <v>-1.2689257390050404E-2</v>
      </c>
      <c r="S223">
        <f t="shared" ca="1" si="61"/>
        <v>2.5434632993208139E-3</v>
      </c>
      <c r="T223">
        <f t="shared" ca="1" si="62"/>
        <v>-6.5934265095394023E-3</v>
      </c>
      <c r="U223">
        <f t="shared" ca="1" si="63"/>
        <v>1805.5270994334489</v>
      </c>
      <c r="V223">
        <f t="shared" ca="1" si="64"/>
        <v>4.0292567466075346E-3</v>
      </c>
      <c r="W223" t="b">
        <f t="shared" ca="1" si="51"/>
        <v>1</v>
      </c>
      <c r="X223" t="b">
        <f t="shared" ca="1" si="52"/>
        <v>1</v>
      </c>
      <c r="Y223" t="b">
        <f t="shared" ca="1" si="53"/>
        <v>1</v>
      </c>
    </row>
    <row r="224" spans="1:25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49"/>
        <v>0</v>
      </c>
      <c r="K224">
        <f t="shared" ca="1" si="54"/>
        <v>0.24632121328816642</v>
      </c>
      <c r="L224">
        <f t="shared" ca="1" si="55"/>
        <v>0.24527197639685461</v>
      </c>
      <c r="M224">
        <f t="shared" ca="1" si="56"/>
        <v>0.24184337799162092</v>
      </c>
      <c r="N224">
        <f t="shared" ca="1" si="57"/>
        <v>0.26656343232335794</v>
      </c>
      <c r="O224">
        <f t="shared" ca="1" si="50"/>
        <v>0.99999999999999978</v>
      </c>
      <c r="P224">
        <f t="shared" ca="1" si="58"/>
        <v>9.278296167431024E-3</v>
      </c>
      <c r="Q224">
        <f t="shared" ca="1" si="59"/>
        <v>2.0521833175611667E-2</v>
      </c>
      <c r="R224">
        <f t="shared" ca="1" si="60"/>
        <v>7.1564188695778424E-3</v>
      </c>
      <c r="S224">
        <f t="shared" ca="1" si="61"/>
        <v>1.4714660936007661E-2</v>
      </c>
      <c r="T224">
        <f t="shared" ca="1" si="62"/>
        <v>1.294604727622225E-2</v>
      </c>
      <c r="U224">
        <f t="shared" ca="1" si="63"/>
        <v>1828.9015386212147</v>
      </c>
      <c r="V224">
        <f t="shared" ca="1" si="64"/>
        <v>2.285373726421347E-3</v>
      </c>
      <c r="W224" t="b">
        <f t="shared" ca="1" si="51"/>
        <v>1</v>
      </c>
      <c r="X224" t="b">
        <f t="shared" ca="1" si="52"/>
        <v>1</v>
      </c>
      <c r="Y224" t="b">
        <f t="shared" ca="1" si="53"/>
        <v>1</v>
      </c>
    </row>
    <row r="225" spans="1:25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49"/>
        <v>0</v>
      </c>
      <c r="K225">
        <f t="shared" ca="1" si="54"/>
        <v>0.2465113348506805</v>
      </c>
      <c r="L225">
        <f t="shared" ca="1" si="55"/>
        <v>0.24365018972640201</v>
      </c>
      <c r="M225">
        <f t="shared" ca="1" si="56"/>
        <v>0.24429201177110801</v>
      </c>
      <c r="N225">
        <f t="shared" ca="1" si="57"/>
        <v>0.26554646365180956</v>
      </c>
      <c r="O225">
        <f t="shared" ca="1" si="50"/>
        <v>1</v>
      </c>
      <c r="P225">
        <f t="shared" ca="1" si="58"/>
        <v>-4.230869678767314E-3</v>
      </c>
      <c r="Q225">
        <f t="shared" ca="1" si="59"/>
        <v>-1.1577999152183141E-2</v>
      </c>
      <c r="R225">
        <f t="shared" ca="1" si="60"/>
        <v>5.0754060324827224E-3</v>
      </c>
      <c r="S225">
        <f t="shared" ca="1" si="61"/>
        <v>-8.7948936670882993E-3</v>
      </c>
      <c r="T225">
        <f t="shared" ca="1" si="62"/>
        <v>-4.9988553905584952E-3</v>
      </c>
      <c r="U225">
        <f t="shared" ca="1" si="63"/>
        <v>1819.7591243060774</v>
      </c>
      <c r="V225">
        <f t="shared" ca="1" si="64"/>
        <v>2.6387553420010729E-3</v>
      </c>
      <c r="W225" t="b">
        <f t="shared" ca="1" si="51"/>
        <v>1</v>
      </c>
      <c r="X225" t="b">
        <f t="shared" ca="1" si="52"/>
        <v>1</v>
      </c>
      <c r="Y225" t="b">
        <f t="shared" ca="1" si="53"/>
        <v>1</v>
      </c>
    </row>
    <row r="226" spans="1:25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49"/>
        <v>0</v>
      </c>
      <c r="K226">
        <f t="shared" ca="1" si="54"/>
        <v>0.24492614035017715</v>
      </c>
      <c r="L226">
        <f t="shared" ca="1" si="55"/>
        <v>0.24432643393705247</v>
      </c>
      <c r="M226">
        <f t="shared" ca="1" si="56"/>
        <v>0.24431382763031856</v>
      </c>
      <c r="N226">
        <f t="shared" ca="1" si="57"/>
        <v>0.26643359808245187</v>
      </c>
      <c r="O226">
        <f t="shared" ca="1" si="50"/>
        <v>1</v>
      </c>
      <c r="P226">
        <f t="shared" ca="1" si="58"/>
        <v>3.514477549307679E-3</v>
      </c>
      <c r="Q226">
        <f t="shared" ca="1" si="59"/>
        <v>1.2812608893773366E-2</v>
      </c>
      <c r="R226">
        <f t="shared" ca="1" si="60"/>
        <v>1.0099552734093246E-2</v>
      </c>
      <c r="S226">
        <f t="shared" ca="1" si="61"/>
        <v>1.3383583595465579E-2</v>
      </c>
      <c r="T226">
        <f t="shared" ca="1" si="62"/>
        <v>1.000935649000494E-2</v>
      </c>
      <c r="U226">
        <f t="shared" ca="1" si="63"/>
        <v>1837.9737421071964</v>
      </c>
      <c r="V226">
        <f t="shared" ca="1" si="64"/>
        <v>1.5851945005033313E-3</v>
      </c>
      <c r="W226" t="b">
        <f t="shared" ca="1" si="51"/>
        <v>1</v>
      </c>
      <c r="X226" t="b">
        <f t="shared" ca="1" si="52"/>
        <v>1</v>
      </c>
      <c r="Y226" t="b">
        <f t="shared" ca="1" si="53"/>
        <v>1</v>
      </c>
    </row>
    <row r="227" spans="1:25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49"/>
        <v>0</v>
      </c>
      <c r="K227">
        <f t="shared" ca="1" si="54"/>
        <v>0.24509076885411724</v>
      </c>
      <c r="L227">
        <f t="shared" ca="1" si="55"/>
        <v>0.24594155310500718</v>
      </c>
      <c r="M227">
        <f t="shared" ca="1" si="56"/>
        <v>0.24303752146808144</v>
      </c>
      <c r="N227">
        <f t="shared" ca="1" si="57"/>
        <v>0.26593015657279417</v>
      </c>
      <c r="O227">
        <f t="shared" ca="1" si="50"/>
        <v>1</v>
      </c>
      <c r="P227">
        <f t="shared" ca="1" si="58"/>
        <v>-7.0043385081804575E-3</v>
      </c>
      <c r="Q227">
        <f t="shared" ca="1" si="59"/>
        <v>-1.1115522032553022E-3</v>
      </c>
      <c r="R227">
        <f t="shared" ca="1" si="60"/>
        <v>-1.2855306384802251E-2</v>
      </c>
      <c r="S227">
        <f t="shared" ca="1" si="61"/>
        <v>-9.5463996017452653E-3</v>
      </c>
      <c r="T227">
        <f t="shared" ca="1" si="62"/>
        <v>-7.6713378853283856E-3</v>
      </c>
      <c r="U227">
        <f t="shared" ca="1" si="63"/>
        <v>1823.8740245071306</v>
      </c>
      <c r="V227">
        <f t="shared" ca="1" si="64"/>
        <v>1.7797476718948019E-3</v>
      </c>
      <c r="W227" t="b">
        <f t="shared" ca="1" si="51"/>
        <v>1</v>
      </c>
      <c r="X227" t="b">
        <f t="shared" ca="1" si="52"/>
        <v>1</v>
      </c>
      <c r="Y227" t="b">
        <f t="shared" ca="1" si="53"/>
        <v>1</v>
      </c>
    </row>
    <row r="228" spans="1:25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49"/>
        <v>0</v>
      </c>
      <c r="K228">
        <f t="shared" ca="1" si="54"/>
        <v>0.24548148978612933</v>
      </c>
      <c r="L228">
        <f t="shared" ca="1" si="55"/>
        <v>0.24733812700298111</v>
      </c>
      <c r="M228">
        <f t="shared" ca="1" si="56"/>
        <v>0.24335615944097019</v>
      </c>
      <c r="N228">
        <f t="shared" ca="1" si="57"/>
        <v>0.26382422376991937</v>
      </c>
      <c r="O228">
        <f t="shared" ca="1" si="50"/>
        <v>1</v>
      </c>
      <c r="P228">
        <f t="shared" ca="1" si="58"/>
        <v>-9.4751802916253529E-4</v>
      </c>
      <c r="Q228">
        <f t="shared" ca="1" si="59"/>
        <v>3.1264075457700948E-3</v>
      </c>
      <c r="R228">
        <f t="shared" ca="1" si="60"/>
        <v>-1.2299233106640682E-3</v>
      </c>
      <c r="S228">
        <f t="shared" ca="1" si="61"/>
        <v>-1.0436685095940718E-2</v>
      </c>
      <c r="T228">
        <f t="shared" ca="1" si="62"/>
        <v>-2.5376612095087477E-3</v>
      </c>
      <c r="U228">
        <f t="shared" ca="1" si="63"/>
        <v>1819.2456501441084</v>
      </c>
      <c r="V228">
        <f t="shared" ca="1" si="64"/>
        <v>2.1059328028747853E-3</v>
      </c>
      <c r="W228" t="b">
        <f t="shared" ca="1" si="51"/>
        <v>1</v>
      </c>
      <c r="X228" t="b">
        <f t="shared" ca="1" si="52"/>
        <v>1</v>
      </c>
      <c r="Y228" t="b">
        <f t="shared" ca="1" si="53"/>
        <v>1</v>
      </c>
    </row>
    <row r="229" spans="1:25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49"/>
        <v>0</v>
      </c>
      <c r="K229">
        <f t="shared" ca="1" si="54"/>
        <v>0.24435298380528056</v>
      </c>
      <c r="L229">
        <f t="shared" ca="1" si="55"/>
        <v>0.24806342029902428</v>
      </c>
      <c r="M229">
        <f t="shared" ca="1" si="56"/>
        <v>0.24245832718863705</v>
      </c>
      <c r="N229">
        <f t="shared" ca="1" si="57"/>
        <v>0.26512526870705805</v>
      </c>
      <c r="O229">
        <f t="shared" ca="1" si="50"/>
        <v>1</v>
      </c>
      <c r="P229">
        <f t="shared" ca="1" si="58"/>
        <v>3.2140787185837697E-3</v>
      </c>
      <c r="Q229">
        <f t="shared" ca="1" si="59"/>
        <v>1.0802672935210308E-2</v>
      </c>
      <c r="R229">
        <f t="shared" ca="1" si="60"/>
        <v>4.1289387902933225E-3</v>
      </c>
      <c r="S229">
        <f t="shared" ca="1" si="61"/>
        <v>1.2817448461308696E-2</v>
      </c>
      <c r="T229">
        <f t="shared" ca="1" si="62"/>
        <v>7.8472658001368933E-3</v>
      </c>
      <c r="U229">
        <f t="shared" ca="1" si="63"/>
        <v>1833.5217543165322</v>
      </c>
      <c r="V229">
        <f t="shared" ca="1" si="64"/>
        <v>2.0263382331818791E-3</v>
      </c>
      <c r="W229" t="b">
        <f t="shared" ca="1" si="51"/>
        <v>1</v>
      </c>
      <c r="X229" t="b">
        <f t="shared" ca="1" si="52"/>
        <v>1</v>
      </c>
      <c r="Y229" t="b">
        <f t="shared" ca="1" si="53"/>
        <v>1</v>
      </c>
    </row>
    <row r="230" spans="1:25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49"/>
        <v>0</v>
      </c>
      <c r="K230">
        <f t="shared" ca="1" si="54"/>
        <v>0.24623484444802865</v>
      </c>
      <c r="L230">
        <f t="shared" ca="1" si="55"/>
        <v>0.24880504635745876</v>
      </c>
      <c r="M230">
        <f t="shared" ca="1" si="56"/>
        <v>0.24172034648358226</v>
      </c>
      <c r="N230">
        <f t="shared" ca="1" si="57"/>
        <v>0.26323976271093025</v>
      </c>
      <c r="O230">
        <f t="shared" ca="1" si="50"/>
        <v>0.99999999999999978</v>
      </c>
      <c r="P230">
        <f t="shared" ca="1" si="58"/>
        <v>-5.4096638655462244E-3</v>
      </c>
      <c r="Q230">
        <f t="shared" ca="1" si="59"/>
        <v>-1.0060099294486454E-2</v>
      </c>
      <c r="R230">
        <f t="shared" ca="1" si="60"/>
        <v>-1.6015005049776359E-2</v>
      </c>
      <c r="S230">
        <f t="shared" ca="1" si="61"/>
        <v>-2.0030089383167703E-2</v>
      </c>
      <c r="T230">
        <f t="shared" ca="1" si="62"/>
        <v>-1.3010864310693017E-2</v>
      </c>
      <c r="U230">
        <f t="shared" ca="1" si="63"/>
        <v>1809.666051560416</v>
      </c>
      <c r="V230">
        <f t="shared" ca="1" si="64"/>
        <v>2.6234867011825785E-3</v>
      </c>
      <c r="W230" t="b">
        <f t="shared" ca="1" si="51"/>
        <v>1</v>
      </c>
      <c r="X230" t="b">
        <f t="shared" ca="1" si="52"/>
        <v>1</v>
      </c>
      <c r="Y230" t="b">
        <f t="shared" ca="1" si="53"/>
        <v>1</v>
      </c>
    </row>
    <row r="231" spans="1:25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49"/>
        <v>1</v>
      </c>
      <c r="K231">
        <f t="shared" ca="1" si="54"/>
        <v>0.25</v>
      </c>
      <c r="L231">
        <f t="shared" ca="1" si="55"/>
        <v>0.25</v>
      </c>
      <c r="M231">
        <f t="shared" ca="1" si="56"/>
        <v>0.25</v>
      </c>
      <c r="N231">
        <f t="shared" ca="1" si="57"/>
        <v>0.26122417091440131</v>
      </c>
      <c r="O231">
        <f t="shared" ca="1" si="50"/>
        <v>1.0112241709144012</v>
      </c>
      <c r="P231">
        <f t="shared" ca="1" si="58"/>
        <v>3.0627871362939436E-3</v>
      </c>
      <c r="Q231">
        <f t="shared" ca="1" si="59"/>
        <v>1.5837402665963381E-4</v>
      </c>
      <c r="R231">
        <f t="shared" ca="1" si="60"/>
        <v>-1.8181818181818313E-2</v>
      </c>
      <c r="S231">
        <f t="shared" ca="1" si="61"/>
        <v>-1.5201685731487091E-2</v>
      </c>
      <c r="T231">
        <f t="shared" ca="1" si="62"/>
        <v>-7.6030343642457844E-3</v>
      </c>
      <c r="U231">
        <f t="shared" ca="1" si="63"/>
        <v>1795.9070983825932</v>
      </c>
      <c r="V231">
        <f t="shared" ca="1" si="64"/>
        <v>7.6276772537296339E-3</v>
      </c>
      <c r="W231" t="b">
        <f t="shared" ca="1" si="51"/>
        <v>1</v>
      </c>
      <c r="X231" t="b">
        <f t="shared" ca="1" si="52"/>
        <v>1</v>
      </c>
      <c r="Y231" t="b">
        <f t="shared" ca="1" si="53"/>
        <v>1</v>
      </c>
    </row>
    <row r="232" spans="1:25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49"/>
        <v>0</v>
      </c>
      <c r="K232">
        <f t="shared" ca="1" si="54"/>
        <v>0.24993865157216466</v>
      </c>
      <c r="L232">
        <f t="shared" ca="1" si="55"/>
        <v>0.24536992872099433</v>
      </c>
      <c r="M232">
        <f t="shared" ca="1" si="56"/>
        <v>0.24714045941762364</v>
      </c>
      <c r="N232">
        <f t="shared" ca="1" si="57"/>
        <v>0.25755096028921726</v>
      </c>
      <c r="O232">
        <f t="shared" ca="1" si="50"/>
        <v>0.99999999999999978</v>
      </c>
      <c r="P232">
        <f t="shared" ca="1" si="58"/>
        <v>6.791260858120666E-3</v>
      </c>
      <c r="Q232">
        <f t="shared" ca="1" si="59"/>
        <v>-1.1612256208598437E-2</v>
      </c>
      <c r="R232">
        <f t="shared" ca="1" si="60"/>
        <v>-4.4802867383512126E-3</v>
      </c>
      <c r="S232">
        <f t="shared" ca="1" si="61"/>
        <v>-7.1221152376585179E-3</v>
      </c>
      <c r="T232">
        <f t="shared" ca="1" si="62"/>
        <v>-4.1857891703214163E-3</v>
      </c>
      <c r="U232">
        <f t="shared" ca="1" si="63"/>
        <v>1788.38980989928</v>
      </c>
      <c r="V232">
        <f t="shared" ca="1" si="64"/>
        <v>5.6120854572007106E-3</v>
      </c>
      <c r="W232" t="b">
        <f t="shared" ca="1" si="51"/>
        <v>1</v>
      </c>
      <c r="X232" t="b">
        <f t="shared" ca="1" si="52"/>
        <v>1</v>
      </c>
      <c r="Y232" t="b">
        <f t="shared" ca="1" si="53"/>
        <v>1</v>
      </c>
    </row>
    <row r="233" spans="1:25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49"/>
        <v>0</v>
      </c>
      <c r="K233">
        <f t="shared" ca="1" si="54"/>
        <v>0.25126068406836327</v>
      </c>
      <c r="L233">
        <f t="shared" ca="1" si="55"/>
        <v>0.2454540018810101</v>
      </c>
      <c r="M233">
        <f t="shared" ca="1" si="56"/>
        <v>0.24576077203556068</v>
      </c>
      <c r="N233">
        <f t="shared" ca="1" si="57"/>
        <v>0.25752454201506597</v>
      </c>
      <c r="O233">
        <f t="shared" ca="1" si="50"/>
        <v>1</v>
      </c>
      <c r="P233">
        <f t="shared" ca="1" si="58"/>
        <v>-9.4645471658648932E-3</v>
      </c>
      <c r="Q233">
        <f t="shared" ca="1" si="59"/>
        <v>-1.4338735948305798E-2</v>
      </c>
      <c r="R233">
        <f t="shared" ca="1" si="60"/>
        <v>-2.0177017701770161E-2</v>
      </c>
      <c r="S233">
        <f t="shared" ca="1" si="61"/>
        <v>-1.4777415183794137E-2</v>
      </c>
      <c r="T233">
        <f t="shared" ca="1" si="62"/>
        <v>-1.4676345669634019E-2</v>
      </c>
      <c r="U233">
        <f t="shared" ca="1" si="63"/>
        <v>1762.142782857147</v>
      </c>
      <c r="V233">
        <f t="shared" ca="1" si="64"/>
        <v>1.4061056562143098E-3</v>
      </c>
      <c r="W233" t="b">
        <f t="shared" ca="1" si="51"/>
        <v>1</v>
      </c>
      <c r="X233" t="b">
        <f t="shared" ca="1" si="52"/>
        <v>1</v>
      </c>
      <c r="Y233" t="b">
        <f t="shared" ca="1" si="53"/>
        <v>1</v>
      </c>
    </row>
    <row r="234" spans="1:25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49"/>
        <v>0</v>
      </c>
      <c r="K234">
        <f t="shared" ca="1" si="54"/>
        <v>0.25414907697996209</v>
      </c>
      <c r="L234">
        <f t="shared" ca="1" si="55"/>
        <v>0.24538046373550121</v>
      </c>
      <c r="M234">
        <f t="shared" ca="1" si="56"/>
        <v>0.24673808925378043</v>
      </c>
      <c r="N234">
        <f t="shared" ca="1" si="57"/>
        <v>0.25373237003075638</v>
      </c>
      <c r="O234">
        <f t="shared" ca="1" si="50"/>
        <v>1</v>
      </c>
      <c r="P234">
        <f t="shared" ca="1" si="58"/>
        <v>2.1063189568706016E-2</v>
      </c>
      <c r="Q234">
        <f t="shared" ca="1" si="59"/>
        <v>9.1564176193314074E-3</v>
      </c>
      <c r="R234">
        <f t="shared" ca="1" si="60"/>
        <v>1.3473168491158163E-2</v>
      </c>
      <c r="S234">
        <f t="shared" ca="1" si="61"/>
        <v>-5.4059121304917239E-3</v>
      </c>
      <c r="T234">
        <f t="shared" ca="1" si="62"/>
        <v>9.4588520118270205E-3</v>
      </c>
      <c r="U234">
        <f t="shared" ca="1" si="63"/>
        <v>1778.810630663902</v>
      </c>
      <c r="V234">
        <f t="shared" ca="1" si="64"/>
        <v>3.8657101298185254E-3</v>
      </c>
      <c r="W234" t="b">
        <f t="shared" ca="1" si="51"/>
        <v>1</v>
      </c>
      <c r="X234" t="b">
        <f t="shared" ca="1" si="52"/>
        <v>1</v>
      </c>
      <c r="Y234" t="b">
        <f t="shared" ca="1" si="53"/>
        <v>1</v>
      </c>
    </row>
    <row r="235" spans="1:25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49"/>
        <v>0</v>
      </c>
      <c r="K235">
        <f t="shared" ca="1" si="54"/>
        <v>0.25431979225413875</v>
      </c>
      <c r="L235">
        <f t="shared" ca="1" si="55"/>
        <v>0.24448366817148545</v>
      </c>
      <c r="M235">
        <f t="shared" ca="1" si="56"/>
        <v>0.24651541124048001</v>
      </c>
      <c r="N235">
        <f t="shared" ca="1" si="57"/>
        <v>0.25468112833389583</v>
      </c>
      <c r="O235">
        <f t="shared" ca="1" si="50"/>
        <v>1</v>
      </c>
      <c r="P235">
        <f t="shared" ca="1" si="58"/>
        <v>-5.6871057801674823E-3</v>
      </c>
      <c r="Q235">
        <f t="shared" ca="1" si="59"/>
        <v>-9.9860410179318446E-3</v>
      </c>
      <c r="R235">
        <f t="shared" ca="1" si="60"/>
        <v>-7.2513029685019985E-3</v>
      </c>
      <c r="S235">
        <f t="shared" ca="1" si="61"/>
        <v>-2.6391027050803725E-3</v>
      </c>
      <c r="T235">
        <f t="shared" ca="1" si="62"/>
        <v>-6.3545504837418968E-3</v>
      </c>
      <c r="U235">
        <f t="shared" ca="1" si="63"/>
        <v>1767.5070887103313</v>
      </c>
      <c r="V235">
        <f t="shared" ca="1" si="64"/>
        <v>1.119473577316149E-3</v>
      </c>
      <c r="W235" t="b">
        <f t="shared" ca="1" si="51"/>
        <v>1</v>
      </c>
      <c r="X235" t="b">
        <f t="shared" ca="1" si="52"/>
        <v>1</v>
      </c>
      <c r="Y235" t="b">
        <f t="shared" ca="1" si="53"/>
        <v>1</v>
      </c>
    </row>
    <row r="236" spans="1:25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49"/>
        <v>0</v>
      </c>
      <c r="K236">
        <f t="shared" ca="1" si="54"/>
        <v>0.25075403664179535</v>
      </c>
      <c r="L236">
        <f t="shared" ca="1" si="55"/>
        <v>0.24002738796189976</v>
      </c>
      <c r="M236">
        <f t="shared" ca="1" si="56"/>
        <v>0.25347142719491744</v>
      </c>
      <c r="N236">
        <f t="shared" ca="1" si="57"/>
        <v>0.25574714820138739</v>
      </c>
      <c r="O236">
        <f t="shared" ca="1" si="50"/>
        <v>1</v>
      </c>
      <c r="P236">
        <f t="shared" ca="1" si="58"/>
        <v>1.0139351081530872E-2</v>
      </c>
      <c r="Q236">
        <f t="shared" ca="1" si="59"/>
        <v>5.8297180043383329E-3</v>
      </c>
      <c r="R236">
        <f t="shared" ca="1" si="60"/>
        <v>5.3412462908011729E-2</v>
      </c>
      <c r="S236">
        <f t="shared" ca="1" si="61"/>
        <v>2.8791935737911441E-2</v>
      </c>
      <c r="T236">
        <f t="shared" ca="1" si="62"/>
        <v>2.4503666442536397E-2</v>
      </c>
      <c r="U236">
        <f t="shared" ca="1" si="63"/>
        <v>1810.817492846908</v>
      </c>
      <c r="V236">
        <f t="shared" ca="1" si="64"/>
        <v>8.0220358219290355E-3</v>
      </c>
      <c r="W236" t="b">
        <f t="shared" ca="1" si="51"/>
        <v>1</v>
      </c>
      <c r="X236" t="b">
        <f t="shared" ca="1" si="52"/>
        <v>1</v>
      </c>
      <c r="Y236" t="b">
        <f t="shared" ca="1" si="53"/>
        <v>1</v>
      </c>
    </row>
    <row r="237" spans="1:25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49"/>
        <v>0</v>
      </c>
      <c r="K237">
        <f t="shared" ca="1" si="54"/>
        <v>0.25123316469501872</v>
      </c>
      <c r="L237">
        <f t="shared" ca="1" si="55"/>
        <v>0.24082733649696728</v>
      </c>
      <c r="M237">
        <f t="shared" ca="1" si="56"/>
        <v>0.24879157111976172</v>
      </c>
      <c r="N237">
        <f t="shared" ca="1" si="57"/>
        <v>0.2591479276882524</v>
      </c>
      <c r="O237">
        <f t="shared" ca="1" si="50"/>
        <v>1</v>
      </c>
      <c r="P237">
        <f t="shared" ca="1" si="58"/>
        <v>7.4123642353425521E-3</v>
      </c>
      <c r="Q237">
        <f t="shared" ca="1" si="59"/>
        <v>8.8421620164443448E-3</v>
      </c>
      <c r="R237">
        <f t="shared" ca="1" si="60"/>
        <v>-1.3073311664860978E-2</v>
      </c>
      <c r="S237">
        <f t="shared" ca="1" si="61"/>
        <v>1.8861569552037803E-2</v>
      </c>
      <c r="T237">
        <f t="shared" ca="1" si="62"/>
        <v>5.4911229634939931E-3</v>
      </c>
      <c r="U237">
        <f t="shared" ca="1" si="63"/>
        <v>1820.7609143645761</v>
      </c>
      <c r="V237">
        <f t="shared" ca="1" si="64"/>
        <v>4.6798560751558083E-3</v>
      </c>
      <c r="W237" t="b">
        <f t="shared" ca="1" si="51"/>
        <v>1</v>
      </c>
      <c r="X237" t="b">
        <f t="shared" ca="1" si="52"/>
        <v>1</v>
      </c>
      <c r="Y237" t="b">
        <f t="shared" ca="1" si="53"/>
        <v>1</v>
      </c>
    </row>
    <row r="238" spans="1:25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49"/>
        <v>0</v>
      </c>
      <c r="K238">
        <f t="shared" ca="1" si="54"/>
        <v>0.25162983143729972</v>
      </c>
      <c r="L238">
        <f t="shared" ca="1" si="55"/>
        <v>0.24245332531393227</v>
      </c>
      <c r="M238">
        <f t="shared" ca="1" si="56"/>
        <v>0.24886362216595148</v>
      </c>
      <c r="N238">
        <f t="shared" ca="1" si="57"/>
        <v>0.25705322108281647</v>
      </c>
      <c r="O238">
        <f t="shared" ca="1" si="50"/>
        <v>1</v>
      </c>
      <c r="P238">
        <f t="shared" ca="1" si="58"/>
        <v>-1.2927290378621436E-2</v>
      </c>
      <c r="Q238">
        <f t="shared" ca="1" si="59"/>
        <v>-7.8294097212944086E-3</v>
      </c>
      <c r="R238">
        <f t="shared" ca="1" si="60"/>
        <v>-1.4197892271662748E-2</v>
      </c>
      <c r="S238">
        <f t="shared" ca="1" si="61"/>
        <v>-2.2449286250939227E-2</v>
      </c>
      <c r="T238">
        <f t="shared" ca="1" si="62"/>
        <v>-1.4483301897142701E-2</v>
      </c>
      <c r="U238">
        <f t="shared" ca="1" si="63"/>
        <v>1794.3902843593164</v>
      </c>
      <c r="V238">
        <f t="shared" ca="1" si="64"/>
        <v>2.0947066054358421E-3</v>
      </c>
      <c r="W238" t="b">
        <f t="shared" ca="1" si="51"/>
        <v>1</v>
      </c>
      <c r="X238" t="b">
        <f t="shared" ca="1" si="52"/>
        <v>1</v>
      </c>
      <c r="Y238" t="b">
        <f t="shared" ca="1" si="53"/>
        <v>1</v>
      </c>
    </row>
    <row r="239" spans="1:25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49"/>
        <v>0</v>
      </c>
      <c r="K239">
        <f t="shared" ca="1" si="54"/>
        <v>0.25133296864504573</v>
      </c>
      <c r="L239">
        <f t="shared" ca="1" si="55"/>
        <v>0.24225741285890762</v>
      </c>
      <c r="M239">
        <f t="shared" ca="1" si="56"/>
        <v>0.24467608813722774</v>
      </c>
      <c r="N239">
        <f t="shared" ca="1" si="57"/>
        <v>0.26173353035881902</v>
      </c>
      <c r="O239">
        <f t="shared" ca="1" si="50"/>
        <v>1.0000000000000002</v>
      </c>
      <c r="P239">
        <f t="shared" ca="1" si="58"/>
        <v>7.9200745418780468E-3</v>
      </c>
      <c r="Q239">
        <f t="shared" ca="1" si="59"/>
        <v>8.2951791004578085E-3</v>
      </c>
      <c r="R239">
        <f t="shared" ca="1" si="60"/>
        <v>-7.8693392724573305E-3</v>
      </c>
      <c r="S239">
        <f t="shared" ca="1" si="61"/>
        <v>2.74840137727498E-2</v>
      </c>
      <c r="T239">
        <f t="shared" ca="1" si="62"/>
        <v>9.1105827720975741E-3</v>
      </c>
      <c r="U239">
        <f t="shared" ca="1" si="63"/>
        <v>1810.7382255704199</v>
      </c>
      <c r="V239">
        <f t="shared" ca="1" si="64"/>
        <v>4.6803092760024645E-3</v>
      </c>
      <c r="W239" t="b">
        <f t="shared" ca="1" si="51"/>
        <v>1</v>
      </c>
      <c r="X239" t="b">
        <f t="shared" ca="1" si="52"/>
        <v>1</v>
      </c>
      <c r="Y239" t="b">
        <f t="shared" ca="1" si="53"/>
        <v>1</v>
      </c>
    </row>
    <row r="240" spans="1:25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49"/>
        <v>0</v>
      </c>
      <c r="K240">
        <f t="shared" ca="1" si="54"/>
        <v>0.25420620395817817</v>
      </c>
      <c r="L240">
        <f t="shared" ca="1" si="55"/>
        <v>0.240997740311575</v>
      </c>
      <c r="M240">
        <f t="shared" ca="1" si="56"/>
        <v>0.24401139898905197</v>
      </c>
      <c r="N240">
        <f t="shared" ca="1" si="57"/>
        <v>0.26078465674119494</v>
      </c>
      <c r="O240">
        <f t="shared" ca="1" si="50"/>
        <v>1</v>
      </c>
      <c r="P240">
        <f t="shared" ca="1" si="58"/>
        <v>1.6691489908068409E-2</v>
      </c>
      <c r="Q240">
        <f t="shared" ca="1" si="59"/>
        <v>-2.6710828569877944E-5</v>
      </c>
      <c r="R240">
        <f t="shared" ca="1" si="60"/>
        <v>2.4693205627058707E-3</v>
      </c>
      <c r="S240">
        <f t="shared" ca="1" si="61"/>
        <v>1.5558614086529285E-3</v>
      </c>
      <c r="T240">
        <f t="shared" ca="1" si="62"/>
        <v>5.2000556083544643E-3</v>
      </c>
      <c r="U240">
        <f t="shared" ca="1" si="63"/>
        <v>1820.1541650355591</v>
      </c>
      <c r="V240">
        <f t="shared" ca="1" si="64"/>
        <v>2.8732353131324523E-3</v>
      </c>
      <c r="W240" t="b">
        <f t="shared" ca="1" si="51"/>
        <v>1</v>
      </c>
      <c r="X240" t="b">
        <f t="shared" ca="1" si="52"/>
        <v>1</v>
      </c>
      <c r="Y240" t="b">
        <f t="shared" ca="1" si="53"/>
        <v>1</v>
      </c>
    </row>
    <row r="241" spans="1:25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49"/>
        <v>0</v>
      </c>
      <c r="K241">
        <f t="shared" ca="1" si="54"/>
        <v>0.25641583317941197</v>
      </c>
      <c r="L241">
        <f t="shared" ca="1" si="55"/>
        <v>0.2374322384727228</v>
      </c>
      <c r="M241">
        <f t="shared" ca="1" si="56"/>
        <v>0.2445324632236846</v>
      </c>
      <c r="N241">
        <f t="shared" ca="1" si="57"/>
        <v>0.26161946512418066</v>
      </c>
      <c r="O241">
        <f t="shared" ca="1" si="50"/>
        <v>1</v>
      </c>
      <c r="P241">
        <f t="shared" ca="1" si="58"/>
        <v>7.5772883410792926E-4</v>
      </c>
      <c r="Q241">
        <f t="shared" ca="1" si="59"/>
        <v>-2.254454149638058E-2</v>
      </c>
      <c r="R241">
        <f t="shared" ca="1" si="60"/>
        <v>-5.74755542285594E-3</v>
      </c>
      <c r="S241">
        <f t="shared" ca="1" si="61"/>
        <v>-4.6902073250881075E-3</v>
      </c>
      <c r="T241">
        <f t="shared" ca="1" si="62"/>
        <v>-7.8661673332563516E-3</v>
      </c>
      <c r="U241">
        <f t="shared" ca="1" si="63"/>
        <v>1805.8365278010658</v>
      </c>
      <c r="V241">
        <f t="shared" ca="1" si="64"/>
        <v>3.5655018388521809E-3</v>
      </c>
      <c r="W241" t="b">
        <f t="shared" ca="1" si="51"/>
        <v>1</v>
      </c>
      <c r="X241" t="b">
        <f t="shared" ca="1" si="52"/>
        <v>1</v>
      </c>
      <c r="Y241" t="b">
        <f t="shared" ca="1" si="53"/>
        <v>1</v>
      </c>
    </row>
    <row r="242" spans="1:25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49"/>
        <v>0</v>
      </c>
      <c r="K242">
        <f t="shared" ca="1" si="54"/>
        <v>0.25445363493051765</v>
      </c>
      <c r="L242">
        <f t="shared" ca="1" si="55"/>
        <v>0.23935837146911437</v>
      </c>
      <c r="M242">
        <f t="shared" ca="1" si="56"/>
        <v>0.24449357147164102</v>
      </c>
      <c r="N242">
        <f t="shared" ca="1" si="57"/>
        <v>0.26169442212872707</v>
      </c>
      <c r="O242">
        <f t="shared" ca="1" si="50"/>
        <v>1</v>
      </c>
      <c r="P242">
        <f t="shared" ca="1" si="58"/>
        <v>-2.7257584170411408E-3</v>
      </c>
      <c r="Q242">
        <f t="shared" ca="1" si="59"/>
        <v>1.311726286448231E-2</v>
      </c>
      <c r="R242">
        <f t="shared" ca="1" si="60"/>
        <v>4.8048048048049165E-3</v>
      </c>
      <c r="S242">
        <f t="shared" ca="1" si="61"/>
        <v>5.2525737611429594E-3</v>
      </c>
      <c r="T242">
        <f t="shared" ca="1" si="62"/>
        <v>4.9646397611412246E-3</v>
      </c>
      <c r="U242">
        <f t="shared" ca="1" si="63"/>
        <v>1814.8018556291081</v>
      </c>
      <c r="V242">
        <f t="shared" ca="1" si="64"/>
        <v>2.0010900009379412E-3</v>
      </c>
      <c r="W242" t="b">
        <f t="shared" ca="1" si="51"/>
        <v>1</v>
      </c>
      <c r="X242" t="b">
        <f t="shared" ca="1" si="52"/>
        <v>1</v>
      </c>
      <c r="Y242" t="b">
        <f t="shared" ca="1" si="53"/>
        <v>1</v>
      </c>
    </row>
    <row r="243" spans="1:25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49"/>
        <v>0</v>
      </c>
      <c r="K243">
        <f t="shared" ca="1" si="54"/>
        <v>0.24910763338303851</v>
      </c>
      <c r="L243">
        <f t="shared" ca="1" si="55"/>
        <v>0.23756317771950339</v>
      </c>
      <c r="M243">
        <f t="shared" ca="1" si="56"/>
        <v>0.247452065297083</v>
      </c>
      <c r="N243">
        <f t="shared" ca="1" si="57"/>
        <v>0.26587712360037513</v>
      </c>
      <c r="O243">
        <f t="shared" ca="1" si="50"/>
        <v>1</v>
      </c>
      <c r="P243">
        <f t="shared" ca="1" si="58"/>
        <v>-8.5033152806600534E-3</v>
      </c>
      <c r="Q243">
        <f t="shared" ca="1" si="59"/>
        <v>5.1789712189462926E-3</v>
      </c>
      <c r="R243">
        <f t="shared" ca="1" si="60"/>
        <v>2.5029886431560028E-2</v>
      </c>
      <c r="S243">
        <f t="shared" ca="1" si="61"/>
        <v>2.8962140212588045E-2</v>
      </c>
      <c r="T243">
        <f t="shared" ca="1" si="62"/>
        <v>1.2774807508454309E-2</v>
      </c>
      <c r="U243">
        <f t="shared" ca="1" si="63"/>
        <v>1837.9856000007558</v>
      </c>
      <c r="V243">
        <f t="shared" ca="1" si="64"/>
        <v>7.1411952970900777E-3</v>
      </c>
      <c r="W243" t="b">
        <f t="shared" ca="1" si="51"/>
        <v>1</v>
      </c>
      <c r="X243" t="b">
        <f t="shared" ca="1" si="52"/>
        <v>1</v>
      </c>
      <c r="Y243" t="b">
        <f t="shared" ca="1" si="53"/>
        <v>1</v>
      </c>
    </row>
    <row r="244" spans="1:25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49"/>
        <v>1</v>
      </c>
      <c r="K244">
        <f t="shared" ca="1" si="54"/>
        <v>0.25</v>
      </c>
      <c r="L244">
        <f t="shared" ca="1" si="55"/>
        <v>0.25</v>
      </c>
      <c r="M244">
        <f t="shared" ca="1" si="56"/>
        <v>0.25</v>
      </c>
      <c r="N244">
        <f t="shared" ca="1" si="57"/>
        <v>0.26821512021156391</v>
      </c>
      <c r="O244">
        <f t="shared" ca="1" si="50"/>
        <v>1.0182151202115639</v>
      </c>
      <c r="P244">
        <f t="shared" ca="1" si="58"/>
        <v>5.3601511052121676E-3</v>
      </c>
      <c r="Q244">
        <f t="shared" ca="1" si="59"/>
        <v>1.6369247282973667E-3</v>
      </c>
      <c r="R244">
        <f t="shared" ca="1" si="60"/>
        <v>6.6331365259858343E-3</v>
      </c>
      <c r="S244">
        <f t="shared" ca="1" si="61"/>
        <v>1.6656026928210808E-2</v>
      </c>
      <c r="T244">
        <f t="shared" ca="1" si="62"/>
        <v>7.7939674595726323E-3</v>
      </c>
      <c r="U244">
        <f t="shared" ca="1" si="63"/>
        <v>1852.3107999583247</v>
      </c>
      <c r="V244">
        <f t="shared" ca="1" si="64"/>
        <v>9.1075601057819394E-3</v>
      </c>
      <c r="W244" t="b">
        <f t="shared" ca="1" si="51"/>
        <v>1</v>
      </c>
      <c r="X244" t="b">
        <f t="shared" ca="1" si="52"/>
        <v>1</v>
      </c>
      <c r="Y244" t="b">
        <f t="shared" ca="1" si="53"/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All prices</vt:lpstr>
      <vt:lpstr>Market Cap</vt:lpstr>
      <vt:lpstr>Prices</vt:lpstr>
      <vt:lpstr>Shares</vt:lpstr>
      <vt:lpstr>Equal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</dc:creator>
  <cp:lastModifiedBy>Ana Lorena Ortiz Loyola Solana</cp:lastModifiedBy>
  <dcterms:created xsi:type="dcterms:W3CDTF">2026-05-31T08:01:08Z</dcterms:created>
  <dcterms:modified xsi:type="dcterms:W3CDTF">2026-05-31T17:51:32Z</dcterms:modified>
</cp:coreProperties>
</file>